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M:\Downloads\"/>
    </mc:Choice>
  </mc:AlternateContent>
  <xr:revisionPtr revIDLastSave="0" documentId="13_ncr:1_{BA55592F-B470-47C9-BB1C-6D2670412D71}" xr6:coauthVersionLast="47" xr6:coauthVersionMax="47" xr10:uidLastSave="{00000000-0000-0000-0000-000000000000}"/>
  <bookViews>
    <workbookView xWindow="-108" yWindow="-108" windowWidth="23256" windowHeight="12456" activeTab="3" xr2:uid="{00000000-000D-0000-FFFF-FFFF00000000}"/>
  </bookViews>
  <sheets>
    <sheet name="raw_data" sheetId="1" r:id="rId1"/>
    <sheet name="cleaned_data" sheetId="2" r:id="rId2"/>
    <sheet name="Cleaning_log" sheetId="4" r:id="rId3"/>
    <sheet name="Descriptive_Statistics" sheetId="6" r:id="rId4"/>
    <sheet name="Branch_Calculations"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4" i="6" l="1"/>
  <c r="A310" i="6"/>
  <c r="B202" i="6"/>
  <c r="D67" i="6"/>
  <c r="C20" i="6"/>
  <c r="C15" i="6"/>
  <c r="A306" i="6"/>
  <c r="A302" i="6"/>
  <c r="A298" i="6"/>
  <c r="A294" i="6"/>
  <c r="E291" i="6"/>
  <c r="C291" i="6"/>
  <c r="D291" i="6"/>
  <c r="E287" i="6"/>
  <c r="E288" i="6"/>
  <c r="E289" i="6"/>
  <c r="E290" i="6"/>
  <c r="E286" i="6"/>
  <c r="D287" i="6"/>
  <c r="D288" i="6"/>
  <c r="D289" i="6"/>
  <c r="D290" i="6"/>
  <c r="D286" i="6"/>
  <c r="C287" i="6"/>
  <c r="C288" i="6"/>
  <c r="C289" i="6"/>
  <c r="C290" i="6"/>
  <c r="C286" i="6"/>
  <c r="B287" i="6"/>
  <c r="B288" i="6"/>
  <c r="B289" i="6"/>
  <c r="B290" i="6"/>
  <c r="B286" i="6"/>
  <c r="A287" i="6"/>
  <c r="A288" i="6"/>
  <c r="A289" i="6"/>
  <c r="A290" i="6"/>
  <c r="A286" i="6"/>
  <c r="D17" i="7"/>
  <c r="D18" i="7" s="1"/>
  <c r="D19" i="7" s="1"/>
  <c r="C10" i="7"/>
  <c r="B10" i="7"/>
  <c r="E6" i="7" a="1"/>
  <c r="E6" i="7" s="1"/>
  <c r="E7" i="7" a="1"/>
  <c r="E7" i="7" s="1"/>
  <c r="E8" i="7" a="1"/>
  <c r="E8" i="7" s="1"/>
  <c r="E9" i="7" a="1"/>
  <c r="E9" i="7" s="1"/>
  <c r="E5" i="7" a="1"/>
  <c r="E5" i="7" s="1"/>
  <c r="D6" i="7" a="1"/>
  <c r="D6" i="7" s="1"/>
  <c r="D7" i="7" a="1"/>
  <c r="D7" i="7" s="1"/>
  <c r="D8" i="7" a="1"/>
  <c r="D8" i="7" s="1"/>
  <c r="D9" i="7" a="1"/>
  <c r="D9" i="7" s="1"/>
  <c r="D5" i="7" a="1"/>
  <c r="D5" i="7" s="1"/>
  <c r="C6" i="7"/>
  <c r="C7" i="7"/>
  <c r="C8" i="7"/>
  <c r="C9" i="7"/>
  <c r="C5" i="7"/>
  <c r="B6" i="7"/>
  <c r="B7" i="7"/>
  <c r="B8" i="7"/>
  <c r="B9" i="7"/>
  <c r="B5" i="7"/>
  <c r="D207" i="6"/>
  <c r="D208" i="6"/>
  <c r="D209" i="6"/>
  <c r="D210" i="6"/>
  <c r="D211" i="6"/>
  <c r="D212" i="6"/>
  <c r="D213" i="6"/>
  <c r="D214" i="6"/>
  <c r="D215" i="6"/>
  <c r="D216" i="6"/>
  <c r="D217" i="6"/>
  <c r="D218" i="6"/>
  <c r="D219" i="6"/>
  <c r="D220" i="6"/>
  <c r="D206" i="6"/>
  <c r="C207" i="6"/>
  <c r="C208" i="6"/>
  <c r="C209" i="6"/>
  <c r="C210" i="6"/>
  <c r="C211" i="6"/>
  <c r="C212" i="6"/>
  <c r="C213" i="6"/>
  <c r="C214" i="6"/>
  <c r="C215" i="6"/>
  <c r="C216" i="6"/>
  <c r="C217" i="6"/>
  <c r="C218" i="6"/>
  <c r="C219" i="6"/>
  <c r="C220" i="6"/>
  <c r="C206" i="6"/>
  <c r="B207" i="6" a="1"/>
  <c r="B207" i="6" s="1"/>
  <c r="B208" i="6" a="1"/>
  <c r="B208" i="6" s="1"/>
  <c r="B209" i="6" a="1"/>
  <c r="B209" i="6" s="1"/>
  <c r="B210" i="6" a="1"/>
  <c r="B210" i="6" s="1"/>
  <c r="B211" i="6" a="1"/>
  <c r="B211" i="6" s="1"/>
  <c r="B212" i="6" a="1"/>
  <c r="B212" i="6" s="1"/>
  <c r="B213" i="6" a="1"/>
  <c r="B213" i="6" s="1"/>
  <c r="B214" i="6" a="1"/>
  <c r="B214" i="6" s="1"/>
  <c r="B215" i="6" a="1"/>
  <c r="B215" i="6" s="1"/>
  <c r="B216" i="6" a="1"/>
  <c r="B216" i="6" s="1"/>
  <c r="B217" i="6" a="1"/>
  <c r="B217" i="6" s="1"/>
  <c r="B218" i="6" a="1"/>
  <c r="B218" i="6" s="1"/>
  <c r="B219" i="6" a="1"/>
  <c r="B219" i="6" s="1"/>
  <c r="B220" i="6" a="1"/>
  <c r="B220" i="6" s="1"/>
  <c r="B206" i="6" a="1"/>
  <c r="B206" i="6" s="1"/>
  <c r="B172" i="6"/>
  <c r="B173" i="6" s="1"/>
  <c r="B171" i="6"/>
  <c r="G146" i="6" a="1"/>
  <c r="G146" i="6" s="1"/>
  <c r="D79" i="6"/>
  <c r="D78" i="6"/>
  <c r="D77" i="6"/>
  <c r="D76" i="6"/>
  <c r="D75" i="6"/>
  <c r="D74" i="6"/>
  <c r="D73" i="6"/>
  <c r="D72" i="6"/>
  <c r="D71" i="6"/>
  <c r="D70" i="6"/>
  <c r="D69" i="6"/>
  <c r="D68" i="6"/>
  <c r="C5" i="6"/>
  <c r="C6" i="6"/>
  <c r="B113" i="6" s="1"/>
  <c r="C22" i="6" a="1"/>
  <c r="C22" i="6" s="1"/>
  <c r="C14" i="6"/>
  <c r="C13" i="6"/>
  <c r="C12" i="6"/>
  <c r="B170" i="6" s="1"/>
  <c r="C10" i="6"/>
  <c r="C9" i="6"/>
  <c r="C8" i="6"/>
  <c r="B115" i="6" s="1"/>
  <c r="C7" i="6"/>
  <c r="B114" i="6" s="1"/>
  <c r="D15" i="7" l="1"/>
  <c r="D14" i="7"/>
  <c r="D12" i="7"/>
  <c r="D13" i="7"/>
  <c r="F66" i="6"/>
  <c r="B166" i="6"/>
  <c r="B167" i="6"/>
  <c r="B168" i="6"/>
  <c r="B169" i="6"/>
  <c r="C11" i="6"/>
  <c r="C19" i="6"/>
  <c r="B200" i="6" l="1"/>
  <c r="B199" i="6"/>
  <c r="B201"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<sst xmlns="http://schemas.openxmlformats.org/spreadsheetml/2006/main" count="5253" uniqueCount="1027">
  <si>
    <t>student_id</t>
  </si>
  <si>
    <t>branch</t>
  </si>
  <si>
    <t>track</t>
  </si>
  <si>
    <t>gender</t>
  </si>
  <si>
    <t>age</t>
  </si>
  <si>
    <t>study_hours_week</t>
  </si>
  <si>
    <t>commute_minutes</t>
  </si>
  <si>
    <t>sleep_hours</t>
  </si>
  <si>
    <t>projects_submitted</t>
  </si>
  <si>
    <t>satisfaction_1to5</t>
  </si>
  <si>
    <t>has_laptop</t>
  </si>
  <si>
    <t>transport</t>
  </si>
  <si>
    <t>pets_at_home</t>
  </si>
  <si>
    <t>favorite_sport</t>
  </si>
  <si>
    <t>final_score</t>
  </si>
  <si>
    <t>ITI-1031</t>
  </si>
  <si>
    <t>Cairo</t>
  </si>
  <si>
    <t>Data Science</t>
  </si>
  <si>
    <t>Male</t>
  </si>
  <si>
    <t>21</t>
  </si>
  <si>
    <t>16.5</t>
  </si>
  <si>
    <t>34.1</t>
  </si>
  <si>
    <t>3</t>
  </si>
  <si>
    <t>Yes</t>
  </si>
  <si>
    <t>Car</t>
  </si>
  <si>
    <t>Swimming</t>
  </si>
  <si>
    <t>79.3</t>
  </si>
  <si>
    <t>ITI-1117</t>
  </si>
  <si>
    <t>Assiut</t>
  </si>
  <si>
    <t>Female</t>
  </si>
  <si>
    <t>29</t>
  </si>
  <si>
    <t>25.1 hours</t>
  </si>
  <si>
    <t>5.0</t>
  </si>
  <si>
    <t>4</t>
  </si>
  <si>
    <t>Metro</t>
  </si>
  <si>
    <t>Football</t>
  </si>
  <si>
    <t>91.7</t>
  </si>
  <si>
    <t>ITI-1080</t>
  </si>
  <si>
    <t>25</t>
  </si>
  <si>
    <t>14.1</t>
  </si>
  <si>
    <t>73.2</t>
  </si>
  <si>
    <t>Bus</t>
  </si>
  <si>
    <t>ITI-1128</t>
  </si>
  <si>
    <t>Web Development</t>
  </si>
  <si>
    <t>-5</t>
  </si>
  <si>
    <t>13.7</t>
  </si>
  <si>
    <t>90.6</t>
  </si>
  <si>
    <t>ITI-1197</t>
  </si>
  <si>
    <t>Menoufia</t>
  </si>
  <si>
    <t>19.9</t>
  </si>
  <si>
    <t>17.2</t>
  </si>
  <si>
    <t>No</t>
  </si>
  <si>
    <t>none</t>
  </si>
  <si>
    <t>86.8</t>
  </si>
  <si>
    <t>ITI-1138</t>
  </si>
  <si>
    <t>UI/UX</t>
  </si>
  <si>
    <t>22</t>
  </si>
  <si>
    <t>8.5</t>
  </si>
  <si>
    <t>29.6</t>
  </si>
  <si>
    <t>2</t>
  </si>
  <si>
    <t>Microbus</t>
  </si>
  <si>
    <t>Running</t>
  </si>
  <si>
    <t>59.1</t>
  </si>
  <si>
    <t>ITI-1210</t>
  </si>
  <si>
    <t>20.4</t>
  </si>
  <si>
    <t>56.1</t>
  </si>
  <si>
    <t>5</t>
  </si>
  <si>
    <t>92.5</t>
  </si>
  <si>
    <t xml:space="preserve"> ITI-1046 </t>
  </si>
  <si>
    <t>23</t>
  </si>
  <si>
    <t>14.0</t>
  </si>
  <si>
    <t>51.7</t>
  </si>
  <si>
    <t>72.6</t>
  </si>
  <si>
    <t>ITI-1159</t>
  </si>
  <si>
    <t>20</t>
  </si>
  <si>
    <t>17.6</t>
  </si>
  <si>
    <t>21.8</t>
  </si>
  <si>
    <t>Walk</t>
  </si>
  <si>
    <t>88.6</t>
  </si>
  <si>
    <t>ITI-1248</t>
  </si>
  <si>
    <t>Alexandria</t>
  </si>
  <si>
    <t>18.7</t>
  </si>
  <si>
    <t>15.0</t>
  </si>
  <si>
    <t>Basketball</t>
  </si>
  <si>
    <t>84.9</t>
  </si>
  <si>
    <t>ITI-1184</t>
  </si>
  <si>
    <t>Mansoura</t>
  </si>
  <si>
    <t>12.2</t>
  </si>
  <si>
    <t>58.2</t>
  </si>
  <si>
    <t>1</t>
  </si>
  <si>
    <t>71.9</t>
  </si>
  <si>
    <t>ITI-1042</t>
  </si>
  <si>
    <t>cairo</t>
  </si>
  <si>
    <t>27</t>
  </si>
  <si>
    <t>21.9</t>
  </si>
  <si>
    <t>22.8</t>
  </si>
  <si>
    <t>87.7</t>
  </si>
  <si>
    <t>ITI-1228</t>
  </si>
  <si>
    <t>alexandria</t>
  </si>
  <si>
    <t>15.7</t>
  </si>
  <si>
    <t>55,6</t>
  </si>
  <si>
    <t>ITI-1083</t>
  </si>
  <si>
    <t>12.3</t>
  </si>
  <si>
    <t>39.2</t>
  </si>
  <si>
    <t>78.6</t>
  </si>
  <si>
    <t>ITI-1166</t>
  </si>
  <si>
    <t>web development</t>
  </si>
  <si>
    <t>26</t>
  </si>
  <si>
    <t>13.1 hours</t>
  </si>
  <si>
    <t>63.8</t>
  </si>
  <si>
    <t>Y</t>
  </si>
  <si>
    <t>74.3</t>
  </si>
  <si>
    <t>ITI-1195</t>
  </si>
  <si>
    <t>14.7</t>
  </si>
  <si>
    <t>13.6</t>
  </si>
  <si>
    <t>77.2</t>
  </si>
  <si>
    <t>ITI-1227</t>
  </si>
  <si>
    <t>16.6</t>
  </si>
  <si>
    <t>66.8</t>
  </si>
  <si>
    <t>ITI-1147</t>
  </si>
  <si>
    <t>18.6</t>
  </si>
  <si>
    <t>44.3</t>
  </si>
  <si>
    <t>83.7</t>
  </si>
  <si>
    <t>ITI-1105</t>
  </si>
  <si>
    <t>25.9</t>
  </si>
  <si>
    <t>22.4</t>
  </si>
  <si>
    <t>bus</t>
  </si>
  <si>
    <t>87.4</t>
  </si>
  <si>
    <t>ITI-1061</t>
  </si>
  <si>
    <t>data science</t>
  </si>
  <si>
    <t>24.3</t>
  </si>
  <si>
    <t>91.6</t>
  </si>
  <si>
    <t>ITI-1222</t>
  </si>
  <si>
    <t>21.2</t>
  </si>
  <si>
    <t>30.3</t>
  </si>
  <si>
    <t>90.0</t>
  </si>
  <si>
    <t>ITI-1109</t>
  </si>
  <si>
    <t>9.5</t>
  </si>
  <si>
    <t>43.9</t>
  </si>
  <si>
    <t>77.0</t>
  </si>
  <si>
    <t>ITI-1047</t>
  </si>
  <si>
    <t>6.4</t>
  </si>
  <si>
    <t>17.1</t>
  </si>
  <si>
    <t>METRO</t>
  </si>
  <si>
    <t>66.9</t>
  </si>
  <si>
    <t>ITI-1043</t>
  </si>
  <si>
    <t>24</t>
  </si>
  <si>
    <t>111.7</t>
  </si>
  <si>
    <t>69.4</t>
  </si>
  <si>
    <t>ITI-1186</t>
  </si>
  <si>
    <t>Embedded Systems</t>
  </si>
  <si>
    <t>18.3</t>
  </si>
  <si>
    <t>66.4</t>
  </si>
  <si>
    <t>85.7</t>
  </si>
  <si>
    <t>ITI-1010</t>
  </si>
  <si>
    <t>25.7</t>
  </si>
  <si>
    <t>10.8</t>
  </si>
  <si>
    <t>No sport</t>
  </si>
  <si>
    <t>80.3</t>
  </si>
  <si>
    <t>ITI-1023</t>
  </si>
  <si>
    <t>21.5</t>
  </si>
  <si>
    <t>8.4</t>
  </si>
  <si>
    <t>ITI-1200</t>
  </si>
  <si>
    <t>35.2</t>
  </si>
  <si>
    <t>75.3</t>
  </si>
  <si>
    <t>ITI-1110</t>
  </si>
  <si>
    <t>9.3</t>
  </si>
  <si>
    <t>31 min</t>
  </si>
  <si>
    <t>74.6</t>
  </si>
  <si>
    <t>ITI-1025</t>
  </si>
  <si>
    <t>17.7</t>
  </si>
  <si>
    <t>43.8</t>
  </si>
  <si>
    <t>ITI-1114</t>
  </si>
  <si>
    <t>18.8</t>
  </si>
  <si>
    <t>16.2</t>
  </si>
  <si>
    <t>76.6</t>
  </si>
  <si>
    <t>ITI-1069</t>
  </si>
  <si>
    <t>83 min</t>
  </si>
  <si>
    <t>ITI-1145</t>
  </si>
  <si>
    <t>150</t>
  </si>
  <si>
    <t>52.6</t>
  </si>
  <si>
    <t>85.1</t>
  </si>
  <si>
    <t>ITI-1225</t>
  </si>
  <si>
    <t>Mansora</t>
  </si>
  <si>
    <t>17.9</t>
  </si>
  <si>
    <t>84.2</t>
  </si>
  <si>
    <t>ITI-1253</t>
  </si>
  <si>
    <t>28</t>
  </si>
  <si>
    <t>9.8</t>
  </si>
  <si>
    <t>27.2</t>
  </si>
  <si>
    <t>micro bus</t>
  </si>
  <si>
    <t>71.0</t>
  </si>
  <si>
    <t xml:space="preserve"> ITI-1007 </t>
  </si>
  <si>
    <t>19.7</t>
  </si>
  <si>
    <t>31.9</t>
  </si>
  <si>
    <t>90.3</t>
  </si>
  <si>
    <t>ITI-1121</t>
  </si>
  <si>
    <t>12.7</t>
  </si>
  <si>
    <t>11.6</t>
  </si>
  <si>
    <t>78.3</t>
  </si>
  <si>
    <t>ITI-1068</t>
  </si>
  <si>
    <t>44.1</t>
  </si>
  <si>
    <t>79.5</t>
  </si>
  <si>
    <t>ITI-1120</t>
  </si>
  <si>
    <t>18.5</t>
  </si>
  <si>
    <t xml:space="preserve"> ITI-1119 </t>
  </si>
  <si>
    <t>2.0</t>
  </si>
  <si>
    <t>50.1</t>
  </si>
  <si>
    <t>80.2</t>
  </si>
  <si>
    <t>ITI-1026</t>
  </si>
  <si>
    <t>Cyber Security</t>
  </si>
  <si>
    <t>14.8</t>
  </si>
  <si>
    <t>9.7</t>
  </si>
  <si>
    <t>64.2</t>
  </si>
  <si>
    <t>ITI-1126</t>
  </si>
  <si>
    <t>74.9</t>
  </si>
  <si>
    <t>999</t>
  </si>
  <si>
    <t>ITI-1245</t>
  </si>
  <si>
    <t>26.4</t>
  </si>
  <si>
    <t>75.2</t>
  </si>
  <si>
    <t>ITI-1020</t>
  </si>
  <si>
    <t>19.0</t>
  </si>
  <si>
    <t>133.7</t>
  </si>
  <si>
    <t>68.1</t>
  </si>
  <si>
    <t>ITI-1078</t>
  </si>
  <si>
    <t>11.0</t>
  </si>
  <si>
    <t>78.0</t>
  </si>
  <si>
    <t>74.5</t>
  </si>
  <si>
    <t>ITI-1217</t>
  </si>
  <si>
    <t>9.6</t>
  </si>
  <si>
    <t>116.1</t>
  </si>
  <si>
    <t>72.5</t>
  </si>
  <si>
    <t>ITI-1091</t>
  </si>
  <si>
    <t>11.9</t>
  </si>
  <si>
    <t>69.6</t>
  </si>
  <si>
    <t>ITI-1209</t>
  </si>
  <si>
    <t>20.1</t>
  </si>
  <si>
    <t>66.6</t>
  </si>
  <si>
    <t>Volleyball</t>
  </si>
  <si>
    <t>62.1</t>
  </si>
  <si>
    <t>ITI-1094</t>
  </si>
  <si>
    <t>11.8</t>
  </si>
  <si>
    <t>27.9</t>
  </si>
  <si>
    <t>70.0</t>
  </si>
  <si>
    <t>ITI-1181</t>
  </si>
  <si>
    <t>11.3</t>
  </si>
  <si>
    <t>82.1</t>
  </si>
  <si>
    <t>ITI-1016</t>
  </si>
  <si>
    <t>9.2</t>
  </si>
  <si>
    <t>89.5</t>
  </si>
  <si>
    <t>N</t>
  </si>
  <si>
    <t>67.6</t>
  </si>
  <si>
    <t>ITI-1153</t>
  </si>
  <si>
    <t>18.1</t>
  </si>
  <si>
    <t>37.2</t>
  </si>
  <si>
    <t>68.9</t>
  </si>
  <si>
    <t>ITI-1233</t>
  </si>
  <si>
    <t>20.0</t>
  </si>
  <si>
    <t>26.2</t>
  </si>
  <si>
    <t>97.4</t>
  </si>
  <si>
    <t>ITI-1251</t>
  </si>
  <si>
    <t>13.4</t>
  </si>
  <si>
    <t>30.7</t>
  </si>
  <si>
    <t>63.9</t>
  </si>
  <si>
    <t>ITI-1116</t>
  </si>
  <si>
    <t>12.4</t>
  </si>
  <si>
    <t>15.6</t>
  </si>
  <si>
    <t>ITI-1034</t>
  </si>
  <si>
    <t>30.1</t>
  </si>
  <si>
    <t>80.4</t>
  </si>
  <si>
    <t>ITI-1185</t>
  </si>
  <si>
    <t>29.5</t>
  </si>
  <si>
    <t>87.9</t>
  </si>
  <si>
    <t>ITI-1143</t>
  </si>
  <si>
    <t>8.8</t>
  </si>
  <si>
    <t>39.9</t>
  </si>
  <si>
    <t>ITI-1198</t>
  </si>
  <si>
    <t>71.1</t>
  </si>
  <si>
    <t>ITI-1038</t>
  </si>
  <si>
    <t>71.6</t>
  </si>
  <si>
    <t>ITI-1017</t>
  </si>
  <si>
    <t>59.6</t>
  </si>
  <si>
    <t>85.9</t>
  </si>
  <si>
    <t>ITI-1076</t>
  </si>
  <si>
    <t>cyber security</t>
  </si>
  <si>
    <t>6.8</t>
  </si>
  <si>
    <t>17.0</t>
  </si>
  <si>
    <t>65.4</t>
  </si>
  <si>
    <t>ITI-1149</t>
  </si>
  <si>
    <t>44.5</t>
  </si>
  <si>
    <t>75.7</t>
  </si>
  <si>
    <t>ITI-1011</t>
  </si>
  <si>
    <t>78.1</t>
  </si>
  <si>
    <t>ITI-1234</t>
  </si>
  <si>
    <t>39.3</t>
  </si>
  <si>
    <t>74.8</t>
  </si>
  <si>
    <t>ITI-1067</t>
  </si>
  <si>
    <t>59.3</t>
  </si>
  <si>
    <t>83.8</t>
  </si>
  <si>
    <t>ITI-1254</t>
  </si>
  <si>
    <t>16.8</t>
  </si>
  <si>
    <t>41.4</t>
  </si>
  <si>
    <t xml:space="preserve">car </t>
  </si>
  <si>
    <t>82.6</t>
  </si>
  <si>
    <t>ITI-1226</t>
  </si>
  <si>
    <t>ITI-1183</t>
  </si>
  <si>
    <t>23.8</t>
  </si>
  <si>
    <t>32.6</t>
  </si>
  <si>
    <t>93.3</t>
  </si>
  <si>
    <t>ITI-1074</t>
  </si>
  <si>
    <t>19.4</t>
  </si>
  <si>
    <t>12.8</t>
  </si>
  <si>
    <t>90.1</t>
  </si>
  <si>
    <t>ITI-1019</t>
  </si>
  <si>
    <t>MALE</t>
  </si>
  <si>
    <t>54.8</t>
  </si>
  <si>
    <t>77.9</t>
  </si>
  <si>
    <t>ITI-1102</t>
  </si>
  <si>
    <t xml:space="preserve"> UI/UX </t>
  </si>
  <si>
    <t>13.1</t>
  </si>
  <si>
    <t>25.1</t>
  </si>
  <si>
    <t>68.4</t>
  </si>
  <si>
    <t>ITI-1196</t>
  </si>
  <si>
    <t>16.1</t>
  </si>
  <si>
    <t>65,3</t>
  </si>
  <si>
    <t>ITI-1113</t>
  </si>
  <si>
    <t>120.2</t>
  </si>
  <si>
    <t>NO</t>
  </si>
  <si>
    <t>ITI-1171</t>
  </si>
  <si>
    <t>10.5</t>
  </si>
  <si>
    <t>79.7</t>
  </si>
  <si>
    <t>57,6</t>
  </si>
  <si>
    <t>ITI-1087</t>
  </si>
  <si>
    <t>29.1</t>
  </si>
  <si>
    <t>73.5</t>
  </si>
  <si>
    <t>ITI-1056</t>
  </si>
  <si>
    <t>23.7</t>
  </si>
  <si>
    <t>37.9</t>
  </si>
  <si>
    <t>90.5</t>
  </si>
  <si>
    <t>ITI-1098</t>
  </si>
  <si>
    <t>15.1</t>
  </si>
  <si>
    <t>53.8</t>
  </si>
  <si>
    <t>ITI-1201</t>
  </si>
  <si>
    <t>11.4</t>
  </si>
  <si>
    <t>ITI-1039</t>
  </si>
  <si>
    <t xml:space="preserve"> ITI-1155 </t>
  </si>
  <si>
    <t>F</t>
  </si>
  <si>
    <t>20.2</t>
  </si>
  <si>
    <t>72.4</t>
  </si>
  <si>
    <t>ITI-1085</t>
  </si>
  <si>
    <t>25.0</t>
  </si>
  <si>
    <t>31.4</t>
  </si>
  <si>
    <t>85.2</t>
  </si>
  <si>
    <t>ITI-1252</t>
  </si>
  <si>
    <t>87.2</t>
  </si>
  <si>
    <t>92.7</t>
  </si>
  <si>
    <t xml:space="preserve"> ITI-1093 </t>
  </si>
  <si>
    <t>19.5</t>
  </si>
  <si>
    <t>6</t>
  </si>
  <si>
    <t>ITI-1202</t>
  </si>
  <si>
    <t>27.7</t>
  </si>
  <si>
    <t>91.3</t>
  </si>
  <si>
    <t>ITI-1127</t>
  </si>
  <si>
    <t>CAIRO</t>
  </si>
  <si>
    <t>23.1</t>
  </si>
  <si>
    <t>80.5</t>
  </si>
  <si>
    <t>ITI-1125</t>
  </si>
  <si>
    <t>ITI-1079</t>
  </si>
  <si>
    <t>23.6</t>
  </si>
  <si>
    <t>21.1</t>
  </si>
  <si>
    <t>84.3</t>
  </si>
  <si>
    <t>ITI-1182</t>
  </si>
  <si>
    <t>15.5</t>
  </si>
  <si>
    <t>68.8</t>
  </si>
  <si>
    <t>84.5</t>
  </si>
  <si>
    <t>ITI-1112</t>
  </si>
  <si>
    <t>20.3</t>
  </si>
  <si>
    <t>50 min</t>
  </si>
  <si>
    <t>77.7</t>
  </si>
  <si>
    <t>ITI-1230</t>
  </si>
  <si>
    <t>20.9</t>
  </si>
  <si>
    <t>55.7</t>
  </si>
  <si>
    <t>82.5</t>
  </si>
  <si>
    <t xml:space="preserve"> ITI-1259 </t>
  </si>
  <si>
    <t>26.0</t>
  </si>
  <si>
    <t>58.5</t>
  </si>
  <si>
    <t>ITI-1032</t>
  </si>
  <si>
    <t>M</t>
  </si>
  <si>
    <t>20.5</t>
  </si>
  <si>
    <t>62.9</t>
  </si>
  <si>
    <t>84.6</t>
  </si>
  <si>
    <t>ITI-1211</t>
  </si>
  <si>
    <t>10.1</t>
  </si>
  <si>
    <t>ITI-1194</t>
  </si>
  <si>
    <t>8.9</t>
  </si>
  <si>
    <t>63.3</t>
  </si>
  <si>
    <t>72.7</t>
  </si>
  <si>
    <t>ITI-1156</t>
  </si>
  <si>
    <t>ITI-1070</t>
  </si>
  <si>
    <t>78.9</t>
  </si>
  <si>
    <t>ITI-1003</t>
  </si>
  <si>
    <t>-1</t>
  </si>
  <si>
    <t>93.5</t>
  </si>
  <si>
    <t>ITI-1077</t>
  </si>
  <si>
    <t>unknown</t>
  </si>
  <si>
    <t>16.3</t>
  </si>
  <si>
    <t>62.4</t>
  </si>
  <si>
    <t>71.7</t>
  </si>
  <si>
    <t>ITI-1148</t>
  </si>
  <si>
    <t>176.0</t>
  </si>
  <si>
    <t>70.1</t>
  </si>
  <si>
    <t>ITI-1140</t>
  </si>
  <si>
    <t>23.4</t>
  </si>
  <si>
    <t>28.5</t>
  </si>
  <si>
    <t>83.4</t>
  </si>
  <si>
    <t>ITI-1144</t>
  </si>
  <si>
    <t>78.5</t>
  </si>
  <si>
    <t>ITI-1097</t>
  </si>
  <si>
    <t>14.4</t>
  </si>
  <si>
    <t>67 min</t>
  </si>
  <si>
    <t>75.4</t>
  </si>
  <si>
    <t>ITI-1141</t>
  </si>
  <si>
    <t>3.2</t>
  </si>
  <si>
    <t>34.3</t>
  </si>
  <si>
    <t>66.2</t>
  </si>
  <si>
    <t>ITI-1174</t>
  </si>
  <si>
    <t>18.0</t>
  </si>
  <si>
    <t>74.4</t>
  </si>
  <si>
    <t>ITI-1075</t>
  </si>
  <si>
    <t>45.4</t>
  </si>
  <si>
    <t>70.9</t>
  </si>
  <si>
    <t>ITI-1118</t>
  </si>
  <si>
    <t>21.7</t>
  </si>
  <si>
    <t>90.2</t>
  </si>
  <si>
    <t>ITI-1030</t>
  </si>
  <si>
    <t>30.2</t>
  </si>
  <si>
    <t>72.9</t>
  </si>
  <si>
    <t>ITI-1216</t>
  </si>
  <si>
    <t>22.2</t>
  </si>
  <si>
    <t>ITI-1193</t>
  </si>
  <si>
    <t>17.4</t>
  </si>
  <si>
    <t>86.3</t>
  </si>
  <si>
    <t>ITI-1235</t>
  </si>
  <si>
    <t>9.1</t>
  </si>
  <si>
    <t>38.9</t>
  </si>
  <si>
    <t>ITI-1178</t>
  </si>
  <si>
    <t>24.2</t>
  </si>
  <si>
    <t>80,2</t>
  </si>
  <si>
    <t>ITI-1062</t>
  </si>
  <si>
    <t>23.3</t>
  </si>
  <si>
    <t>76.7</t>
  </si>
  <si>
    <t>ITI-1006</t>
  </si>
  <si>
    <t>87.6</t>
  </si>
  <si>
    <t>69.7</t>
  </si>
  <si>
    <t>ITI-1057</t>
  </si>
  <si>
    <t>23.3 hours</t>
  </si>
  <si>
    <t>33.2</t>
  </si>
  <si>
    <t>61.5</t>
  </si>
  <si>
    <t>ITI-1176</t>
  </si>
  <si>
    <t>ITI-1165</t>
  </si>
  <si>
    <t>17.8</t>
  </si>
  <si>
    <t>15.2</t>
  </si>
  <si>
    <t>86.5</t>
  </si>
  <si>
    <t>ITI-1066</t>
  </si>
  <si>
    <t>ITI-1158</t>
  </si>
  <si>
    <t>12.1</t>
  </si>
  <si>
    <t>53.6</t>
  </si>
  <si>
    <t>69.1</t>
  </si>
  <si>
    <t>ITI-1086</t>
  </si>
  <si>
    <t>200.0</t>
  </si>
  <si>
    <t>ITI-1115</t>
  </si>
  <si>
    <t>female</t>
  </si>
  <si>
    <t>25.2</t>
  </si>
  <si>
    <t>25.6</t>
  </si>
  <si>
    <t>87.0</t>
  </si>
  <si>
    <t>ITI-1246</t>
  </si>
  <si>
    <t>48.0</t>
  </si>
  <si>
    <t>86.7</t>
  </si>
  <si>
    <t>ITI-1173</t>
  </si>
  <si>
    <t>132.0</t>
  </si>
  <si>
    <t>81.8</t>
  </si>
  <si>
    <t>ITI-1013</t>
  </si>
  <si>
    <t>9.0</t>
  </si>
  <si>
    <t>67.3</t>
  </si>
  <si>
    <t>ITI-1036</t>
  </si>
  <si>
    <t>20.7</t>
  </si>
  <si>
    <t>83.6</t>
  </si>
  <si>
    <t>ITI-1029</t>
  </si>
  <si>
    <t>13.8</t>
  </si>
  <si>
    <t>43 min</t>
  </si>
  <si>
    <t>68.2</t>
  </si>
  <si>
    <t>ITI-1133</t>
  </si>
  <si>
    <t>10.4</t>
  </si>
  <si>
    <t>39.5</t>
  </si>
  <si>
    <t>ITI-1052</t>
  </si>
  <si>
    <t>ITI-1096</t>
  </si>
  <si>
    <t>24.8</t>
  </si>
  <si>
    <t>29.3</t>
  </si>
  <si>
    <t>-</t>
  </si>
  <si>
    <t>93.0</t>
  </si>
  <si>
    <t>ITI-1168</t>
  </si>
  <si>
    <t>62.0</t>
  </si>
  <si>
    <t>ITI-1180</t>
  </si>
  <si>
    <t>WEB DEVELOPMENT</t>
  </si>
  <si>
    <t>ITI-1247</t>
  </si>
  <si>
    <t>64.1</t>
  </si>
  <si>
    <t>ITI-1177</t>
  </si>
  <si>
    <t>6.8 hours</t>
  </si>
  <si>
    <t>ITI-1137</t>
  </si>
  <si>
    <t>14.3</t>
  </si>
  <si>
    <t>5.4</t>
  </si>
  <si>
    <t>yes</t>
  </si>
  <si>
    <t>ITI-1027</t>
  </si>
  <si>
    <t>18.2</t>
  </si>
  <si>
    <t>ITI-1214</t>
  </si>
  <si>
    <t>98.8</t>
  </si>
  <si>
    <t>ITI-1142</t>
  </si>
  <si>
    <t>30.4</t>
  </si>
  <si>
    <t>68.7</t>
  </si>
  <si>
    <t>ITI-1160</t>
  </si>
  <si>
    <t>43.1</t>
  </si>
  <si>
    <t>88.1</t>
  </si>
  <si>
    <t>ITI-1001</t>
  </si>
  <si>
    <t>12.5</t>
  </si>
  <si>
    <t>15.8</t>
  </si>
  <si>
    <t>75.8</t>
  </si>
  <si>
    <t xml:space="preserve"> ITI-1232 </t>
  </si>
  <si>
    <t>52.2</t>
  </si>
  <si>
    <t>74.0</t>
  </si>
  <si>
    <t>ITI-1101</t>
  </si>
  <si>
    <t>25.8</t>
  </si>
  <si>
    <t>256.5</t>
  </si>
  <si>
    <t>99.0</t>
  </si>
  <si>
    <t>ITI-1242</t>
  </si>
  <si>
    <t>200</t>
  </si>
  <si>
    <t>88.3</t>
  </si>
  <si>
    <t>ITI-1203</t>
  </si>
  <si>
    <t>21.0</t>
  </si>
  <si>
    <t>ITI-1099</t>
  </si>
  <si>
    <t>12.9</t>
  </si>
  <si>
    <t>ITI-1037</t>
  </si>
  <si>
    <t>26.1</t>
  </si>
  <si>
    <t xml:space="preserve"> ITI-1062 </t>
  </si>
  <si>
    <t>ITI-1151</t>
  </si>
  <si>
    <t>5.1</t>
  </si>
  <si>
    <t>154.0</t>
  </si>
  <si>
    <t>50.4</t>
  </si>
  <si>
    <t>ITI-1213</t>
  </si>
  <si>
    <t>11.1</t>
  </si>
  <si>
    <t>ITI-1257</t>
  </si>
  <si>
    <t>19.2</t>
  </si>
  <si>
    <t>85.6</t>
  </si>
  <si>
    <t>ITI-1012</t>
  </si>
  <si>
    <t>36.5</t>
  </si>
  <si>
    <t>92.3</t>
  </si>
  <si>
    <t>ITI-1231</t>
  </si>
  <si>
    <t>16.7</t>
  </si>
  <si>
    <t>126.7</t>
  </si>
  <si>
    <t>69.2</t>
  </si>
  <si>
    <t>ITI-1028</t>
  </si>
  <si>
    <t>95.6</t>
  </si>
  <si>
    <t>ITI-1179</t>
  </si>
  <si>
    <t>30.8</t>
  </si>
  <si>
    <t>100.0</t>
  </si>
  <si>
    <t xml:space="preserve"> ITI-1005 </t>
  </si>
  <si>
    <t>22.9</t>
  </si>
  <si>
    <t>36.9</t>
  </si>
  <si>
    <t>86.4</t>
  </si>
  <si>
    <t>ITI-1123</t>
  </si>
  <si>
    <t>91.8</t>
  </si>
  <si>
    <t>ITI-1033</t>
  </si>
  <si>
    <t>ITI-1205</t>
  </si>
  <si>
    <t>ITI-1163</t>
  </si>
  <si>
    <t>73.4</t>
  </si>
  <si>
    <t>ITI-1169</t>
  </si>
  <si>
    <t>15.3</t>
  </si>
  <si>
    <t>26.6</t>
  </si>
  <si>
    <t>79.4</t>
  </si>
  <si>
    <t>ITI-1207</t>
  </si>
  <si>
    <t>23.5</t>
  </si>
  <si>
    <t>27.0</t>
  </si>
  <si>
    <t>94.8</t>
  </si>
  <si>
    <t>ITI-1139</t>
  </si>
  <si>
    <t>23.0</t>
  </si>
  <si>
    <t>97.3</t>
  </si>
  <si>
    <t>ITI-1063</t>
  </si>
  <si>
    <t>24.4</t>
  </si>
  <si>
    <t>190.2</t>
  </si>
  <si>
    <t>ITI-1136</t>
  </si>
  <si>
    <t>24.1</t>
  </si>
  <si>
    <t>81.1</t>
  </si>
  <si>
    <t>ITI-1129</t>
  </si>
  <si>
    <t>12.6</t>
  </si>
  <si>
    <t>77.6</t>
  </si>
  <si>
    <t>ITI-1244</t>
  </si>
  <si>
    <t>22.6</t>
  </si>
  <si>
    <t>97.9</t>
  </si>
  <si>
    <t>80.7</t>
  </si>
  <si>
    <t>ITI-1071</t>
  </si>
  <si>
    <t>19.3</t>
  </si>
  <si>
    <t>209.8</t>
  </si>
  <si>
    <t>ITI-1223</t>
  </si>
  <si>
    <t>54.1</t>
  </si>
  <si>
    <t>ITI-1065</t>
  </si>
  <si>
    <t>ITI-1045</t>
  </si>
  <si>
    <t>36.4</t>
  </si>
  <si>
    <t>88.2</t>
  </si>
  <si>
    <t>ITI-1187</t>
  </si>
  <si>
    <t>19.6</t>
  </si>
  <si>
    <t>86.9</t>
  </si>
  <si>
    <t>ITI-1157</t>
  </si>
  <si>
    <t>61.7</t>
  </si>
  <si>
    <t>ITI-1041</t>
  </si>
  <si>
    <t>8.1</t>
  </si>
  <si>
    <t>35 min</t>
  </si>
  <si>
    <t>ITI-1124</t>
  </si>
  <si>
    <t>20.8</t>
  </si>
  <si>
    <t>99.9</t>
  </si>
  <si>
    <t>ITI-1154</t>
  </si>
  <si>
    <t>4.5</t>
  </si>
  <si>
    <t>67.4</t>
  </si>
  <si>
    <t>ITI-1024</t>
  </si>
  <si>
    <t>29.4</t>
  </si>
  <si>
    <t>83.9</t>
  </si>
  <si>
    <t>ITI-1218</t>
  </si>
  <si>
    <t>67.7</t>
  </si>
  <si>
    <t>80.0</t>
  </si>
  <si>
    <t>ITI-1082</t>
  </si>
  <si>
    <t>83.2</t>
  </si>
  <si>
    <t>ITI-1040</t>
  </si>
  <si>
    <t>43.3</t>
  </si>
  <si>
    <t>ITI-1241</t>
  </si>
  <si>
    <t>37.6</t>
  </si>
  <si>
    <t>ITI-1048</t>
  </si>
  <si>
    <t>23.2</t>
  </si>
  <si>
    <t>33.0</t>
  </si>
  <si>
    <t>ITI-1095</t>
  </si>
  <si>
    <t>ITI-1221</t>
  </si>
  <si>
    <t>6.7</t>
  </si>
  <si>
    <t>44.8</t>
  </si>
  <si>
    <t>67.2</t>
  </si>
  <si>
    <t>ITI-1237</t>
  </si>
  <si>
    <t>5.2</t>
  </si>
  <si>
    <t>6.2</t>
  </si>
  <si>
    <t>7</t>
  </si>
  <si>
    <t>54.9</t>
  </si>
  <si>
    <t>ITI-1162</t>
  </si>
  <si>
    <t>3.1</t>
  </si>
  <si>
    <t>77.4</t>
  </si>
  <si>
    <t>ITI-1044</t>
  </si>
  <si>
    <t>ITI-1146</t>
  </si>
  <si>
    <t>18.4</t>
  </si>
  <si>
    <t>70.6</t>
  </si>
  <si>
    <t>81.4</t>
  </si>
  <si>
    <t>ITI-1191</t>
  </si>
  <si>
    <t>ITI-1212</t>
  </si>
  <si>
    <t>60.3</t>
  </si>
  <si>
    <t>ITI-1004</t>
  </si>
  <si>
    <t>105.8</t>
  </si>
  <si>
    <t>ITI-1106</t>
  </si>
  <si>
    <t>missing</t>
  </si>
  <si>
    <t>46.4</t>
  </si>
  <si>
    <t>85.0</t>
  </si>
  <si>
    <t>ITI-1054</t>
  </si>
  <si>
    <t>27.4</t>
  </si>
  <si>
    <t>ITI-1134</t>
  </si>
  <si>
    <t>ITI-1002</t>
  </si>
  <si>
    <t>10.9</t>
  </si>
  <si>
    <t>ITI-1224</t>
  </si>
  <si>
    <t>9.4</t>
  </si>
  <si>
    <t>ITI-1104</t>
  </si>
  <si>
    <t>14.2</t>
  </si>
  <si>
    <t>121.4</t>
  </si>
  <si>
    <t>68.5</t>
  </si>
  <si>
    <t>ITI-1050</t>
  </si>
  <si>
    <t>84.1</t>
  </si>
  <si>
    <t>ITI-1164</t>
  </si>
  <si>
    <t>104.5</t>
  </si>
  <si>
    <t>ITI-1081</t>
  </si>
  <si>
    <t>11.0 hours</t>
  </si>
  <si>
    <t>17.5</t>
  </si>
  <si>
    <t>ITI-1206</t>
  </si>
  <si>
    <t>11.5</t>
  </si>
  <si>
    <t>64.0</t>
  </si>
  <si>
    <t>ITI-1035</t>
  </si>
  <si>
    <t>Data  Science</t>
  </si>
  <si>
    <t>99.8</t>
  </si>
  <si>
    <t>ITI-1238</t>
  </si>
  <si>
    <t>57.8</t>
  </si>
  <si>
    <t>72.2</t>
  </si>
  <si>
    <t>ITI-1008</t>
  </si>
  <si>
    <t>7.0</t>
  </si>
  <si>
    <t>ITI-1172</t>
  </si>
  <si>
    <t>46 min</t>
  </si>
  <si>
    <t>76.9</t>
  </si>
  <si>
    <t>ITI-1199</t>
  </si>
  <si>
    <t>238.9</t>
  </si>
  <si>
    <t>76.1</t>
  </si>
  <si>
    <t>ITI-1243</t>
  </si>
  <si>
    <t>31.3</t>
  </si>
  <si>
    <t>69.8</t>
  </si>
  <si>
    <t>ITI-1111</t>
  </si>
  <si>
    <t>ITI-1092</t>
  </si>
  <si>
    <t>71.2</t>
  </si>
  <si>
    <t>ITI-1084</t>
  </si>
  <si>
    <t>73.7</t>
  </si>
  <si>
    <t>ITI-1130</t>
  </si>
  <si>
    <t>81.7</t>
  </si>
  <si>
    <t>ITI-1053</t>
  </si>
  <si>
    <t>83.1</t>
  </si>
  <si>
    <t>ITI-1090</t>
  </si>
  <si>
    <t>28.4</t>
  </si>
  <si>
    <t>ITI-1009</t>
  </si>
  <si>
    <t>87.5</t>
  </si>
  <si>
    <t>ITI-1014</t>
  </si>
  <si>
    <t>11.7</t>
  </si>
  <si>
    <t>32.9</t>
  </si>
  <si>
    <t>69.3</t>
  </si>
  <si>
    <t>ITI-1060</t>
  </si>
  <si>
    <t>94.9</t>
  </si>
  <si>
    <t>ITI-1249</t>
  </si>
  <si>
    <t>ITI-1132</t>
  </si>
  <si>
    <t>191.9</t>
  </si>
  <si>
    <t>ITI-1018</t>
  </si>
  <si>
    <t xml:space="preserve"> Web Development </t>
  </si>
  <si>
    <t>16.4</t>
  </si>
  <si>
    <t>86.1</t>
  </si>
  <si>
    <t>ITI-1167</t>
  </si>
  <si>
    <t>21.6 hours</t>
  </si>
  <si>
    <t>21.3</t>
  </si>
  <si>
    <t>ITI-1073</t>
  </si>
  <si>
    <t>58.4</t>
  </si>
  <si>
    <t>ITI-1255</t>
  </si>
  <si>
    <t>77.8</t>
  </si>
  <si>
    <t>ITI-1135</t>
  </si>
  <si>
    <t>ITI-1250</t>
  </si>
  <si>
    <t>14.9</t>
  </si>
  <si>
    <t>ITI-1229</t>
  </si>
  <si>
    <t>30</t>
  </si>
  <si>
    <t>62.8</t>
  </si>
  <si>
    <t>ITI-1260</t>
  </si>
  <si>
    <t>46.8</t>
  </si>
  <si>
    <t>ITI-1064</t>
  </si>
  <si>
    <t>105.1</t>
  </si>
  <si>
    <t>ITI-1055</t>
  </si>
  <si>
    <t>8.0</t>
  </si>
  <si>
    <t>73.3</t>
  </si>
  <si>
    <t>ITI-1108</t>
  </si>
  <si>
    <t>ITI-1051</t>
  </si>
  <si>
    <t>8.7</t>
  </si>
  <si>
    <t>ITI-1239</t>
  </si>
  <si>
    <t>65.5</t>
  </si>
  <si>
    <t>ITI-1175</t>
  </si>
  <si>
    <t>42.6</t>
  </si>
  <si>
    <t>ITI-1240</t>
  </si>
  <si>
    <t>10.2</t>
  </si>
  <si>
    <t>ITI-1190</t>
  </si>
  <si>
    <t>6.3</t>
  </si>
  <si>
    <t>ITI-1015</t>
  </si>
  <si>
    <t>53.3</t>
  </si>
  <si>
    <t>ITI-1208</t>
  </si>
  <si>
    <t>7.2</t>
  </si>
  <si>
    <t>ITI-1256</t>
  </si>
  <si>
    <t>26.9</t>
  </si>
  <si>
    <t>ITI-1220</t>
  </si>
  <si>
    <t>36.6</t>
  </si>
  <si>
    <t>85.3</t>
  </si>
  <si>
    <t>ITI-1170</t>
  </si>
  <si>
    <t>77.1</t>
  </si>
  <si>
    <t>ITI-1059</t>
  </si>
  <si>
    <t>14.5</t>
  </si>
  <si>
    <t>13.2</t>
  </si>
  <si>
    <t>92,3</t>
  </si>
  <si>
    <t>ITI-1219</t>
  </si>
  <si>
    <t>92.0</t>
  </si>
  <si>
    <t>ITI-1049</t>
  </si>
  <si>
    <t>142.3</t>
  </si>
  <si>
    <t>ITI-1089</t>
  </si>
  <si>
    <t>94.1</t>
  </si>
  <si>
    <t xml:space="preserve"> ITI-1236 </t>
  </si>
  <si>
    <t>19.1</t>
  </si>
  <si>
    <t>34.8</t>
  </si>
  <si>
    <t>ITI-1022</t>
  </si>
  <si>
    <t>110.8</t>
  </si>
  <si>
    <t>70.7</t>
  </si>
  <si>
    <t>ITI-1058</t>
  </si>
  <si>
    <t>24.0</t>
  </si>
  <si>
    <t>?</t>
  </si>
  <si>
    <t>ITI-1204</t>
  </si>
  <si>
    <t>ITI-1161</t>
  </si>
  <si>
    <t>33.1</t>
  </si>
  <si>
    <t>ITI-1188</t>
  </si>
  <si>
    <t>27.8</t>
  </si>
  <si>
    <t>38.1</t>
  </si>
  <si>
    <t>ITI-1192</t>
  </si>
  <si>
    <t>ITI-1258</t>
  </si>
  <si>
    <t>36.3</t>
  </si>
  <si>
    <t>88.8</t>
  </si>
  <si>
    <t>ITI-1150</t>
  </si>
  <si>
    <t>75.6</t>
  </si>
  <si>
    <t>ITI-1131</t>
  </si>
  <si>
    <t>89.2</t>
  </si>
  <si>
    <t>ITI-1152</t>
  </si>
  <si>
    <t>7.5</t>
  </si>
  <si>
    <t>95.1</t>
  </si>
  <si>
    <t>62.5</t>
  </si>
  <si>
    <t>ITI-1100</t>
  </si>
  <si>
    <t>ITI-1088</t>
  </si>
  <si>
    <t>22.3</t>
  </si>
  <si>
    <t>70 min</t>
  </si>
  <si>
    <t>84.4</t>
  </si>
  <si>
    <t>ITI-1215</t>
  </si>
  <si>
    <t>58.0</t>
  </si>
  <si>
    <t>ITI-1122</t>
  </si>
  <si>
    <t>25.5</t>
  </si>
  <si>
    <t>65.6</t>
  </si>
  <si>
    <t>ITI-1103</t>
  </si>
  <si>
    <t xml:space="preserve"> Embedded Systems </t>
  </si>
  <si>
    <t>81.9</t>
  </si>
  <si>
    <t>ITI-1021</t>
  </si>
  <si>
    <t>89.4</t>
  </si>
  <si>
    <t>ITI-1189</t>
  </si>
  <si>
    <t>76.5</t>
  </si>
  <si>
    <t>ITI-1072</t>
  </si>
  <si>
    <t>24.7</t>
  </si>
  <si>
    <t>96.4</t>
  </si>
  <si>
    <t>ITI-1107</t>
  </si>
  <si>
    <t>29.8</t>
  </si>
  <si>
    <t>85.4</t>
  </si>
  <si>
    <t>None</t>
  </si>
  <si>
    <t>ITI-1046</t>
  </si>
  <si>
    <t>ITI-1007</t>
  </si>
  <si>
    <t>ITI-1119</t>
  </si>
  <si>
    <t>ITI-1155</t>
  </si>
  <si>
    <t>ITI-1093</t>
  </si>
  <si>
    <t>ITI-1259</t>
  </si>
  <si>
    <t>ITI-1232</t>
  </si>
  <si>
    <t>ITI-1005</t>
  </si>
  <si>
    <t>ITI-1236</t>
  </si>
  <si>
    <t>We started with 271 rows and finished with 260 rows because we removed 11 duplicate student records, handled non-response missing values, corrected formatted strings, and dropped 20 impossible errors while retaining 15 genuine long-commute outliers.</t>
  </si>
  <si>
    <t>#</t>
  </si>
  <si>
    <t>Column affected</t>
  </si>
  <si>
    <t>Problem observed</t>
  </si>
  <si>
    <t>Rows affected</t>
  </si>
  <si>
    <t>Action taken</t>
  </si>
  <si>
    <t>Rule / justification</t>
  </si>
  <si>
    <t>11 duplicate student records found</t>
  </si>
  <si>
    <t>Removed duplicate rows, keeping first instance</t>
  </si>
  <si>
    <t>Duplicate student records distort statistics and must be removed.</t>
  </si>
  <si>
    <t>Inconsistent text casing (cairo, CAIRO, Mansora)</t>
  </si>
  <si>
    <t>Standardized to Title Case (Cairo, Mansoura)</t>
  </si>
  <si>
    <t>Categorical variables require consistent text formatting for grouping.</t>
  </si>
  <si>
    <t>Text formatting and spacing issues (web development, Data  Science)</t>
  </si>
  <si>
    <t>Cleaned to standard categories (Web Development, Data Science, etc.)</t>
  </si>
  <si>
    <t>Track names must strictly match defined standard options.</t>
  </si>
  <si>
    <t>Abbreviated and lowercased gender labels (M, m, female, F)</t>
  </si>
  <si>
    <t>Standardized to Male and Female</t>
  </si>
  <si>
    <t>Categorical gender values must be uniform across all entries.</t>
  </si>
  <si>
    <t>Non-standard responses (1, Y, NO, N, yes)</t>
  </si>
  <si>
    <t>Converted all to Yes and No</t>
  </si>
  <si>
    <t>Standard binary responses are restricted to Yes / No.</t>
  </si>
  <si>
    <t>Typos and casing variations (bus, METRO, micro bus, car)</t>
  </si>
  <si>
    <t>Standardized to Bus, Metro, Microbus, Car, Walk</t>
  </si>
  <si>
    <t>Transport modes must be clean for categorical analysis.</t>
  </si>
  <si>
    <t>All Columns</t>
  </si>
  <si>
    <t>Disguised missing values (?, NA, n/a, -, unknown)</t>
  </si>
  <si>
    <t>Converted disguised text to true NaN</t>
  </si>
  <si>
    <t>Text representation of missing values interferes with statistical calculations.</t>
  </si>
  <si>
    <t>Numeric Columns</t>
  </si>
  <si>
    <t>Numbers embedded with units or commas (31 min, 25.1 hours, 55,6)</t>
  </si>
  <si>
    <t>Extracted numbers, replaced commas with dots, cast to numeric</t>
  </si>
  <si>
    <t>Text-formatted numbers prevent statistical operations like average or sum.</t>
  </si>
  <si>
    <t>Values outside valid 17–45 range (150, -1, 5, -1)</t>
  </si>
  <si>
    <t>Set invalid values to NaN</t>
  </si>
  <si>
    <t>Ages outside 17–45 violate defined Data Dictionary limits.</t>
  </si>
  <si>
    <t>Out-of-bounds study hours (-5, 200, -5)</t>
  </si>
  <si>
    <t>Weekly study hours cannot be negative or exceed 80 hours.</t>
  </si>
  <si>
    <t>Impossible sleep values (25.0, 25.0, 0.0, 0.0)</t>
  </si>
  <si>
    <t>Sleep duration must lie strictly between 2 and 14 hours daily.</t>
  </si>
  <si>
    <t>Scores exceeding scale limits (6, 7, 7)</t>
  </si>
  <si>
    <t>Satisfaction score is restricted strictly to an ordinal scale of 1 to 5.</t>
  </si>
  <si>
    <t>Negative or extreme pet counts (60, -2, -2)</t>
  </si>
  <si>
    <t>Number of pets cannot be negative or unrealistically high.</t>
  </si>
  <si>
    <t>Scores exceeding 100% limit (999, 150, 150)</t>
  </si>
  <si>
    <t>Assessment score percentage must strictly be between 0 and 100.</t>
  </si>
  <si>
    <t>Genuine long commute values above upper fence (115.3 mins)</t>
  </si>
  <si>
    <t>Preserved all 15 values (all ≤ 300 mins) as valid outliers</t>
  </si>
  <si>
    <t>Plausible extreme values represent true long commutes and should be retained.</t>
  </si>
  <si>
    <t>Explicit "none" or "No sport" text alongside missing entries</t>
  </si>
  <si>
    <t>Standardized text to "None", preserved missing as NaN</t>
  </si>
  <si>
    <t>Explicit "None" indicates no sports activity, distinct from unanswered fields.</t>
  </si>
  <si>
    <t>PART C — Descriptive Statistics</t>
  </si>
  <si>
    <t>Statistics</t>
  </si>
  <si>
    <t>Fromula</t>
  </si>
  <si>
    <t>Result</t>
  </si>
  <si>
    <t>Unit</t>
  </si>
  <si>
    <t>Count (n)</t>
  </si>
  <si>
    <t>Students</t>
  </si>
  <si>
    <t>Mean</t>
  </si>
  <si>
    <t>Median</t>
  </si>
  <si>
    <t>AVERAGE(range)</t>
  </si>
  <si>
    <t>MEDIAN(range)</t>
  </si>
  <si>
    <t>minutes</t>
  </si>
  <si>
    <t>Mode</t>
  </si>
  <si>
    <t>MODE(range)  [same as MODE.SNGL]</t>
  </si>
  <si>
    <t>Minimum</t>
  </si>
  <si>
    <t>MIN(range)</t>
  </si>
  <si>
    <t>Maximum</t>
  </si>
  <si>
    <t>MAX(range)</t>
  </si>
  <si>
    <t>Range (Max − Min)</t>
  </si>
  <si>
    <t xml:space="preserve">Standard Deviation </t>
  </si>
  <si>
    <t xml:space="preserve">STDEV(range) </t>
  </si>
  <si>
    <t xml:space="preserve">Q1 </t>
  </si>
  <si>
    <t xml:space="preserve">QUARTILE(range,1)  </t>
  </si>
  <si>
    <t>Q3</t>
  </si>
  <si>
    <t xml:space="preserve">QUARTILE(range,3)  </t>
  </si>
  <si>
    <t>IQR (Q3 − Q1)</t>
  </si>
  <si>
    <t>C10-C9</t>
  </si>
  <si>
    <t>C14-C13</t>
  </si>
  <si>
    <t>Mean − Median (gap)</t>
  </si>
  <si>
    <t>Distribution Shape (derived)</t>
  </si>
  <si>
    <t>Max. repeat count of any single commute value</t>
  </si>
  <si>
    <t>out of 254</t>
  </si>
  <si>
    <t>COUNT(commute_minutes)</t>
  </si>
  <si>
    <t>Q: Which is larger — the mean or the median?</t>
  </si>
  <si>
    <t>Q: What does the difference between the mean and the median tell us?</t>
  </si>
  <si>
    <t>Q: Is the distribution symmetric, left-skewed, or right-skewed?</t>
  </si>
  <si>
    <t>Q: What does the distribution tell us about commute times?</t>
  </si>
  <si>
    <t>Histogram — Distribution of commute_minutes</t>
  </si>
  <si>
    <t>Bin (minutes)</t>
  </si>
  <si>
    <t>Lower Bound</t>
  </si>
  <si>
    <t>Upper Bound</t>
  </si>
  <si>
    <t>Frequency (students)</t>
  </si>
  <si>
    <t>0–20</t>
  </si>
  <si>
    <t>20–40</t>
  </si>
  <si>
    <t>40–60</t>
  </si>
  <si>
    <t>60–80</t>
  </si>
  <si>
    <t>80–100</t>
  </si>
  <si>
    <t>100–120</t>
  </si>
  <si>
    <t>120–140</t>
  </si>
  <si>
    <t>140–160</t>
  </si>
  <si>
    <t>160–180</t>
  </si>
  <si>
    <t>180–200</t>
  </si>
  <si>
    <t>200–220</t>
  </si>
  <si>
    <t>220–240</t>
  </si>
  <si>
    <t>240–260</t>
  </si>
  <si>
    <t>How do we know it's a right-skewed?!</t>
  </si>
  <si>
    <t>Conclusion</t>
  </si>
  <si>
    <t>Measure of Centre</t>
  </si>
  <si>
    <t>Value (minutes)</t>
  </si>
  <si>
    <t>Sensitive to Extreme Values?</t>
  </si>
  <si>
    <t>Recommended for ‘Typical Commute’?</t>
  </si>
  <si>
    <t>No — overstates the typical case</t>
  </si>
  <si>
    <t>NO — depends only on rank, not magnitude</t>
  </si>
  <si>
    <t>N/A — not a measure of magnitude</t>
  </si>
  <si>
    <t>No — near-meaningless for continuous data</t>
  </si>
  <si>
    <t>C2.  Which Avg should be Reported?</t>
  </si>
  <si>
    <t>Yes — pulled upward by long-tail extreme commuters</t>
  </si>
  <si>
    <t>Yes — best single number for ‘typical’</t>
  </si>
  <si>
    <t>1) Which measure do you choose, and why? (Reference the sensitivity of each measure to extreme values)</t>
  </si>
  <si>
    <t>2) Suppose a rival team reports the Mean and we report the Median. Both are correct arithmetic — whose number better serves the decision, and can you name a situation where the other choice would be right?</t>
  </si>
  <si>
    <t>3) The mode of a continuous variable is close to useless here. Explain why — and then explain why the mode is the ONLY option you have for transport.</t>
  </si>
  <si>
    <t xml:space="preserve">C3.  SPREAD AND WHY THE AVERAGE ALONE IS NOT ENOUGH							</t>
  </si>
  <si>
    <t>Measure of Spread</t>
  </si>
  <si>
    <t>Value</t>
  </si>
  <si>
    <t>Unit / Meaning</t>
  </si>
  <si>
    <t>Standard Deviation</t>
  </si>
  <si>
    <t>minutes — typical distance of a commute from the mean</t>
  </si>
  <si>
    <t>Q1 (25th percentile)</t>
  </si>
  <si>
    <t>minutes — 25% of students commute this long or less</t>
  </si>
  <si>
    <t>Q3 (75th percentile)</t>
  </si>
  <si>
    <t>minutes — 75% of students commute this long or less</t>
  </si>
  <si>
    <t>minutes — range of the middle 50% of students</t>
  </si>
  <si>
    <t>Coefficient of Variation (commute)</t>
  </si>
  <si>
    <t>% — spread relative to the mean commute</t>
  </si>
  <si>
    <t>Mean final_score (for CV comparison)</t>
  </si>
  <si>
    <t>points</t>
  </si>
  <si>
    <t>Std Dev final_score (for CV comparison)</t>
  </si>
  <si>
    <t>Coefficient of Variation (final_score)</t>
  </si>
  <si>
    <t>% — spread relative to mean final_score</t>
  </si>
  <si>
    <t>1) Report the Standard Deviation and the IQR for commute time. They tell different stories — why?</t>
  </si>
  <si>
    <t>2) Compute the CV for commute time and final score. Which variable is more spread out relative to its own size?</t>
  </si>
  <si>
    <t>1.5 × IQR Outlier Fences</t>
  </si>
  <si>
    <t>Lower Fence = Q1 − 1.5×IQR</t>
  </si>
  <si>
    <t>Upper Fence = Q3 + 1.5×IQR</t>
  </si>
  <si>
    <t>Number of outliers (below LF or above UF)</t>
  </si>
  <si>
    <t>out of 254 valid observations</t>
  </si>
  <si>
    <t>Outlier List — individual students beyond the fences (ranked ascending)</t>
  </si>
  <si>
    <t>Rank</t>
  </si>
  <si>
    <t>Commute (min)</t>
  </si>
  <si>
    <t>Student ID</t>
  </si>
  <si>
    <t>Branch</t>
  </si>
  <si>
    <t>3) How many observations fall outside the fences? Do you believe those extreme students?</t>
  </si>
  <si>
    <t>Outlier does not necessarily mean error.</t>
  </si>
  <si>
    <t>Why can the average alone be misleading?</t>
  </si>
  <si>
    <t>C4.  CUT THE DATA BY GROUP  (commute_minutes by Branch)</t>
  </si>
  <si>
    <t>Count</t>
  </si>
  <si>
    <t>Mean (min)</t>
  </si>
  <si>
    <t>Median (min)</t>
  </si>
  <si>
    <t>Std Dev (min)</t>
  </si>
  <si>
    <t>OVERALL (all branches combined)</t>
  </si>
  <si>
    <t>HELPER SHEET — Branch-Level Calculations (feeds Descriptive_Statistics)</t>
  </si>
  <si>
    <t>All branch names below are pulled from cleaned_data. All statistics are computed with live formulas (no typed results).</t>
  </si>
  <si>
    <t>Count (non-blank commute)</t>
  </si>
  <si>
    <t>Mean Commute (min)</t>
  </si>
  <si>
    <t>Median Commute (min)</t>
  </si>
  <si>
    <t>Std Dev Commute (min)</t>
  </si>
  <si>
    <t>Overall mean commute (all 254 valid rows)</t>
  </si>
  <si>
    <t>Branch with HIGHEST mean commute</t>
  </si>
  <si>
    <t>Branch with LOWEST mean commute</t>
  </si>
  <si>
    <t>Branch with HIGHEST variability (Std Dev)</t>
  </si>
  <si>
    <t>Branch with LOWEST variability (Std Dev)</t>
  </si>
  <si>
    <t>Overall mean commute EXCLUDING the highest-mean branch</t>
  </si>
  <si>
    <t>Change in overall mean (Original − Excluding branch)</t>
  </si>
  <si>
    <t>Percent change in overall mean</t>
  </si>
  <si>
    <t>Total</t>
  </si>
  <si>
    <t>1) Which branch has the highest average commute time?</t>
  </si>
  <si>
    <t>2) Which branch has the lowest average commute time?</t>
  </si>
  <si>
    <t>3) Which branch has the highest variability (Std Dev)?</t>
  </si>
  <si>
    <t>4) Which branch has the lowest variability (Std Dev)?</t>
  </si>
  <si>
    <t>5) Which branch is mainly responsible for increasing the overall average? By how much?</t>
  </si>
  <si>
    <t>6) Recalculate the overall mean after excluding that branch. (7) Compare the new mean with the original mean.</t>
  </si>
  <si>
    <t>8) Explain what this means.</t>
  </si>
  <si>
    <t>It means a single, uniform national policy built on the OVERALL average would be shaped almost entirely by one branch’s commuting pattern, not by the typical experience across ITI as a whole. The other four branches look meaningfully different once that branch is removed. This supports designing the remote-attendance threshold per-branch (or at least flagging that branch specifically) rather than applying one national number derived from the blended average — exactly the kind of ‘average of all students vs. average of branch averages’ trap the case brief warns about.</t>
  </si>
  <si>
    <t>9) One branch has a much smaller standard deviation than the others. What does that mean in plain language for the students at that branch?</t>
  </si>
  <si>
    <t>Assiut has the smallest standard deviation. In plain language: students at that branch commute fairly similar distances to each other — there isn't a small group of extreme long-distance travellers skewing things. A remote-attendance threshold there would affect students fairly evenly, unlike at the highest-variability branch, where a policy would mostly help a distinct minority of very long-distance commuters rather than the 'typical' student at that branch.</t>
  </si>
  <si>
    <t>FINAL CONCLUSIONS — PART C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</si>
</sst>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37" x14ac:knownFonts="1">
    <font>
      <sz val="11"/>
      <color theme="1"/>
      <name val="Calibri"/>
      <family val="2"/>
      <scheme val="minor"/>
    </font>
    <font>
      <b/>
      <sz val="11"/>
      <name val="Calibri"/>
    </font>
    <font>
      <sz val="11"/>
      <name val="Calibri"/>
      <scheme val="minor"/>
    </font>
    <font>
      <b/>
      <sz val="12"/>
      <name val="Calibri"/>
    </font>
    <font>
      <b/>
      <sz val="11"/>
      <color rgb="FFFFFFFF"/>
      <name val="Calibri"/>
    </font>
    <font>
      <sz val="11"/>
      <name val="Calibri"/>
    </font>
    <font>
      <b/>
      <sz val="12"/>
      <color theme="0"/>
      <name val="Calibri"/>
      <family val="2"/>
      <scheme val="minor"/>
    </font>
    <font>
      <sz val="20"/>
      <color theme="1"/>
      <name val="Calibri"/>
      <family val="2"/>
      <scheme val="minor"/>
    </font>
    <font>
      <b/>
      <sz val="11"/>
      <name val="Calibri"/>
      <family val="2"/>
    </font>
    <font>
      <b/>
      <sz val="12"/>
      <color theme="1"/>
      <name val="Calibri"/>
      <family val="2"/>
      <scheme val="minor"/>
    </font>
    <font>
      <sz val="12"/>
      <color theme="1"/>
      <name val="Calibri"/>
      <family val="2"/>
      <scheme val="minor"/>
    </font>
    <font>
      <b/>
      <sz val="14"/>
      <color theme="1"/>
      <name val="Calibri"/>
      <family val="2"/>
      <scheme val="minor"/>
    </font>
    <font>
      <sz val="11"/>
      <color indexed="8"/>
      <name val="Calibri"/>
      <family val="2"/>
    </font>
    <font>
      <b/>
      <sz val="10"/>
      <color indexed="9"/>
      <name val="Arial"/>
      <family val="2"/>
    </font>
    <font>
      <b/>
      <sz val="10"/>
      <color indexed="56"/>
      <name val="Arial"/>
      <family val="2"/>
    </font>
    <font>
      <sz val="14"/>
      <color theme="1"/>
      <name val="Calibri"/>
      <family val="2"/>
      <scheme val="minor"/>
    </font>
    <font>
      <b/>
      <sz val="13"/>
      <color indexed="9"/>
      <name val="Arial"/>
      <family val="2"/>
    </font>
    <font>
      <b/>
      <sz val="10"/>
      <color indexed="63"/>
      <name val="Arial"/>
      <family val="2"/>
    </font>
    <font>
      <sz val="10"/>
      <color indexed="63"/>
      <name val="Arial"/>
      <family val="2"/>
    </font>
    <font>
      <b/>
      <sz val="10"/>
      <name val="Arial"/>
      <family val="2"/>
    </font>
    <font>
      <b/>
      <sz val="13"/>
      <color theme="0"/>
      <name val="Arial"/>
      <family val="2"/>
    </font>
    <font>
      <sz val="11"/>
      <color theme="0"/>
      <name val="Calibri"/>
      <family val="2"/>
      <scheme val="minor"/>
    </font>
    <font>
      <sz val="11"/>
      <color indexed="8"/>
      <name val="Calibri"/>
      <charset val="1"/>
    </font>
    <font>
      <b/>
      <sz val="10"/>
      <color indexed="9"/>
      <name val="Arial"/>
      <charset val="1"/>
    </font>
    <font>
      <b/>
      <sz val="10"/>
      <color indexed="63"/>
      <name val="Arial"/>
      <charset val="1"/>
    </font>
    <font>
      <b/>
      <sz val="10"/>
      <color indexed="56"/>
      <name val="Arial"/>
      <charset val="1"/>
    </font>
    <font>
      <sz val="10"/>
      <color indexed="63"/>
      <name val="Arial"/>
      <charset val="1"/>
    </font>
    <font>
      <sz val="14"/>
      <color theme="0"/>
      <name val="Calibri"/>
      <family val="2"/>
      <scheme val="minor"/>
    </font>
    <font>
      <b/>
      <sz val="14"/>
      <color theme="0"/>
      <name val="Calibri"/>
      <family val="2"/>
      <scheme val="minor"/>
    </font>
    <font>
      <b/>
      <sz val="12"/>
      <color theme="0"/>
      <name val="Arial"/>
      <family val="2"/>
    </font>
    <font>
      <b/>
      <sz val="12"/>
      <color indexed="9"/>
      <name val="Arial"/>
      <family val="2"/>
    </font>
    <font>
      <i/>
      <sz val="9"/>
      <color indexed="23"/>
      <name val="Arial"/>
      <family val="2"/>
    </font>
    <font>
      <sz val="11"/>
      <name val="Calibri"/>
      <family val="2"/>
    </font>
    <font>
      <b/>
      <sz val="16"/>
      <color theme="0"/>
      <name val="Calibri"/>
      <family val="2"/>
      <scheme val="minor"/>
    </font>
    <font>
      <b/>
      <sz val="18"/>
      <color theme="0"/>
      <name val="Calibri"/>
      <family val="2"/>
      <scheme val="minor"/>
    </font>
    <font>
      <sz val="11"/>
      <color theme="1"/>
      <name val="Calibri"/>
      <family val="2"/>
      <scheme val="minor"/>
    </font>
    <font>
      <b/>
      <sz val="11"/>
      <color rgb="FF002060"/>
      <name val="Calibri"/>
      <family val="2"/>
      <scheme val="minor"/>
    </font>
  </fonts>
  <fills count="17">
    <fill>
      <patternFill patternType="none"/>
    </fill>
    <fill>
      <patternFill patternType="gray125"/>
    </fill>
    <fill>
      <patternFill patternType="solid">
        <fgColor rgb="FF1F4E78"/>
        <bgColor rgb="FF1F4E78"/>
      </patternFill>
    </fill>
    <fill>
      <patternFill patternType="solid">
        <fgColor rgb="FF7030A0"/>
        <bgColor indexed="64"/>
      </patternFill>
    </fill>
    <fill>
      <patternFill patternType="solid">
        <fgColor theme="6" tint="0.39997558519241921"/>
        <bgColor indexed="64"/>
      </patternFill>
    </fill>
    <fill>
      <patternFill patternType="solid">
        <fgColor rgb="FFF2F2F2"/>
        <bgColor indexed="64"/>
      </patternFill>
    </fill>
    <fill>
      <patternFill patternType="solid">
        <fgColor rgb="FF00B050"/>
        <bgColor indexed="64"/>
      </patternFill>
    </fill>
    <fill>
      <patternFill patternType="solid">
        <fgColor theme="8" tint="0.79998168889431442"/>
        <bgColor indexed="64"/>
      </patternFill>
    </fill>
    <fill>
      <patternFill patternType="solid">
        <fgColor theme="0"/>
        <bgColor indexed="64"/>
      </patternFill>
    </fill>
    <fill>
      <patternFill patternType="solid">
        <fgColor rgb="FF0070C0"/>
        <bgColor indexed="64"/>
      </patternFill>
    </fill>
    <fill>
      <patternFill patternType="solid">
        <fgColor theme="7" tint="0.39997558519241921"/>
        <bgColor indexed="64"/>
      </patternFill>
    </fill>
    <fill>
      <patternFill patternType="solid">
        <fgColor rgb="FFED7D31"/>
        <bgColor indexed="64"/>
      </patternFill>
    </fill>
    <fill>
      <patternFill patternType="solid">
        <fgColor theme="9" tint="-0.249977111117893"/>
        <bgColor indexed="64"/>
      </patternFill>
    </fill>
    <fill>
      <patternFill patternType="solid">
        <fgColor rgb="FFD9E1F2"/>
        <bgColor indexed="64"/>
      </patternFill>
    </fill>
    <fill>
      <patternFill patternType="solid">
        <fgColor rgb="FF1F3864"/>
        <bgColor indexed="64"/>
      </patternFill>
    </fill>
    <fill>
      <patternFill patternType="solid">
        <fgColor theme="9" tint="0.59999389629810485"/>
        <bgColor indexed="64"/>
      </patternFill>
    </fill>
    <fill>
      <patternFill patternType="solid">
        <fgColor rgb="FFFF0000"/>
        <bgColor indexed="64"/>
      </patternFill>
    </fill>
  </fills>
  <borders count="12">
    <border>
      <left/>
      <right/>
      <top/>
      <bottom/>
      <diagonal/>
    </border>
    <border>
      <left/>
      <right/>
      <top/>
      <bottom style="thin">
        <color rgb="FFD9E1F2"/>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3">
    <xf numFmtId="0" fontId="0" fillId="0" borderId="0"/>
    <xf numFmtId="0" fontId="2" fillId="0" borderId="0"/>
    <xf numFmtId="9" fontId="35" fillId="0" borderId="0" applyFont="0" applyFill="0" applyBorder="0" applyAlignment="0" applyProtection="0"/>
  </cellStyleXfs>
  <cellXfs count="101">
    <xf numFmtId="0" fontId="0" fillId="0" borderId="0" xfId="0"/>
    <xf numFmtId="0" fontId="1" fillId="0" borderId="0" xfId="0" applyFont="1" applyAlignment="1">
      <alignment horizontal="center" vertical="top"/>
    </xf>
    <xf numFmtId="0" fontId="2" fillId="0" borderId="0" xfId="1"/>
    <xf numFmtId="0" fontId="4" fillId="2" borderId="1" xfId="1" applyFont="1" applyFill="1" applyBorder="1" applyAlignment="1">
      <alignment horizontal="center" vertical="center" wrapText="1"/>
    </xf>
    <xf numFmtId="0" fontId="5" fillId="0" borderId="1" xfId="1" applyFont="1" applyBorder="1" applyAlignment="1">
      <alignment vertical="top" wrapText="1"/>
    </xf>
    <xf numFmtId="0" fontId="0" fillId="0" borderId="7" xfId="0" applyBorder="1"/>
    <xf numFmtId="0" fontId="0" fillId="0" borderId="3" xfId="0" applyBorder="1"/>
    <xf numFmtId="0" fontId="0" fillId="0" borderId="5" xfId="0" applyBorder="1"/>
    <xf numFmtId="0" fontId="8" fillId="0" borderId="0" xfId="0" applyFont="1" applyAlignment="1">
      <alignment horizontal="center" vertical="top"/>
    </xf>
    <xf numFmtId="0" fontId="9" fillId="4" borderId="0" xfId="0" applyFont="1" applyFill="1"/>
    <xf numFmtId="0" fontId="0" fillId="0" borderId="0" xfId="0" applyAlignment="1">
      <alignment horizontal="center"/>
    </xf>
    <xf numFmtId="0" fontId="0" fillId="0" borderId="0" xfId="0" applyAlignment="1">
      <alignment horizontal="left"/>
    </xf>
    <xf numFmtId="0" fontId="12" fillId="0" borderId="0" xfId="0" applyFont="1"/>
    <xf numFmtId="0" fontId="12" fillId="0" borderId="8" xfId="0" applyFont="1" applyBorder="1" applyAlignment="1">
      <alignment horizontal="center" vertical="center"/>
    </xf>
    <xf numFmtId="0" fontId="14" fillId="0" borderId="8" xfId="0" applyFont="1" applyBorder="1" applyAlignment="1">
      <alignment horizontal="center" vertical="center"/>
    </xf>
    <xf numFmtId="0" fontId="12" fillId="5" borderId="8" xfId="0" applyFont="1" applyFill="1" applyBorder="1" applyAlignment="1">
      <alignment horizontal="center" vertical="center"/>
    </xf>
    <xf numFmtId="0" fontId="14" fillId="5" borderId="8" xfId="0" applyFont="1" applyFill="1" applyBorder="1" applyAlignment="1">
      <alignment horizontal="center" vertical="center"/>
    </xf>
    <xf numFmtId="0" fontId="13" fillId="6" borderId="8" xfId="0" applyFont="1" applyFill="1" applyBorder="1" applyAlignment="1">
      <alignment horizontal="center" vertical="center"/>
    </xf>
    <xf numFmtId="0" fontId="15" fillId="0" borderId="0" xfId="0" applyFont="1"/>
    <xf numFmtId="0" fontId="10" fillId="0" borderId="0" xfId="0" applyFont="1"/>
    <xf numFmtId="0" fontId="11" fillId="7" borderId="0" xfId="0" applyFont="1" applyFill="1"/>
    <xf numFmtId="0" fontId="18" fillId="0" borderId="8" xfId="0" applyFont="1" applyBorder="1" applyAlignment="1">
      <alignment horizontal="left" vertical="center" wrapText="1"/>
    </xf>
    <xf numFmtId="0" fontId="16" fillId="8" borderId="0" xfId="0" applyFont="1" applyFill="1" applyAlignment="1">
      <alignment horizontal="left" vertical="center" indent="1"/>
    </xf>
    <xf numFmtId="0" fontId="0" fillId="0" borderId="0" xfId="0" applyAlignment="1">
      <alignment horizontal="center" vertical="center"/>
    </xf>
    <xf numFmtId="0" fontId="17" fillId="0" borderId="8" xfId="0" applyFont="1" applyBorder="1" applyAlignment="1">
      <alignment vertical="center"/>
    </xf>
    <xf numFmtId="2" fontId="19" fillId="0" borderId="8" xfId="0" applyNumberFormat="1" applyFont="1" applyBorder="1" applyAlignment="1">
      <alignment horizontal="center" vertical="center"/>
    </xf>
    <xf numFmtId="0" fontId="7" fillId="9" borderId="0" xfId="0" applyFont="1" applyFill="1"/>
    <xf numFmtId="0" fontId="0" fillId="9" borderId="0" xfId="0" applyFill="1"/>
    <xf numFmtId="0" fontId="13" fillId="3" borderId="8" xfId="0" applyFont="1" applyFill="1" applyBorder="1" applyAlignment="1">
      <alignment horizontal="center" vertical="center"/>
    </xf>
    <xf numFmtId="0" fontId="20" fillId="8" borderId="0" xfId="0" applyFont="1" applyFill="1" applyAlignment="1">
      <alignment horizontal="left" vertical="center" indent="1"/>
    </xf>
    <xf numFmtId="0" fontId="0" fillId="0" borderId="0" xfId="0" applyAlignment="1">
      <alignment horizontal="left" wrapText="1"/>
    </xf>
    <xf numFmtId="0" fontId="0" fillId="10" borderId="0" xfId="0" applyFill="1" applyAlignment="1">
      <alignment horizontal="center" vertical="center"/>
    </xf>
    <xf numFmtId="0" fontId="22" fillId="0" borderId="0" xfId="0" applyFont="1"/>
    <xf numFmtId="0" fontId="24" fillId="0" borderId="8" xfId="0" applyFont="1" applyBorder="1"/>
    <xf numFmtId="2" fontId="25" fillId="0" borderId="8" xfId="0" applyNumberFormat="1" applyFont="1" applyBorder="1" applyAlignment="1">
      <alignment horizontal="center" vertical="center"/>
    </xf>
    <xf numFmtId="164" fontId="25" fillId="0" borderId="8" xfId="0" applyNumberFormat="1" applyFont="1" applyBorder="1" applyAlignment="1">
      <alignment horizontal="center" vertical="center"/>
    </xf>
    <xf numFmtId="0" fontId="23" fillId="9" borderId="8" xfId="0" applyFont="1" applyFill="1" applyBorder="1" applyAlignment="1">
      <alignment horizontal="center" vertical="center"/>
    </xf>
    <xf numFmtId="0" fontId="17" fillId="0" borderId="8" xfId="0" applyFont="1" applyBorder="1"/>
    <xf numFmtId="2" fontId="14" fillId="0" borderId="8" xfId="0" applyNumberFormat="1" applyFont="1" applyBorder="1" applyAlignment="1">
      <alignment horizontal="center" vertical="center"/>
    </xf>
    <xf numFmtId="0" fontId="12" fillId="0" borderId="8" xfId="0" applyFont="1" applyBorder="1"/>
    <xf numFmtId="1" fontId="14" fillId="0" borderId="8" xfId="0" applyNumberFormat="1" applyFont="1" applyBorder="1" applyAlignment="1">
      <alignment horizontal="center" vertical="center"/>
    </xf>
    <xf numFmtId="0" fontId="13" fillId="11" borderId="8" xfId="0" applyFont="1" applyFill="1" applyBorder="1" applyAlignment="1">
      <alignment horizontal="center" vertical="center"/>
    </xf>
    <xf numFmtId="2" fontId="12" fillId="0" borderId="8" xfId="0" applyNumberFormat="1" applyFont="1" applyBorder="1" applyAlignment="1">
      <alignment horizontal="center" vertical="center"/>
    </xf>
    <xf numFmtId="0" fontId="13" fillId="9" borderId="8" xfId="0" applyFont="1" applyFill="1" applyBorder="1" applyAlignment="1">
      <alignment horizontal="center" vertical="center"/>
    </xf>
    <xf numFmtId="1" fontId="12" fillId="0" borderId="8" xfId="0" applyNumberFormat="1" applyFont="1" applyBorder="1" applyAlignment="1">
      <alignment horizontal="center" vertical="center"/>
    </xf>
    <xf numFmtId="0" fontId="17" fillId="13" borderId="8" xfId="0" applyFont="1" applyFill="1" applyBorder="1"/>
    <xf numFmtId="1" fontId="17" fillId="13" borderId="8" xfId="0" applyNumberFormat="1" applyFont="1" applyFill="1" applyBorder="1" applyAlignment="1">
      <alignment horizontal="center" vertical="center"/>
    </xf>
    <xf numFmtId="2" fontId="17" fillId="13" borderId="8" xfId="0" applyNumberFormat="1" applyFont="1" applyFill="1" applyBorder="1" applyAlignment="1">
      <alignment horizontal="center" vertical="center"/>
    </xf>
    <xf numFmtId="0" fontId="13" fillId="11" borderId="8" xfId="0" applyFont="1" applyFill="1" applyBorder="1" applyAlignment="1">
      <alignment horizontal="left" vertical="top" wrapText="1"/>
    </xf>
    <xf numFmtId="0" fontId="12" fillId="5" borderId="8" xfId="0" applyFont="1" applyFill="1" applyBorder="1"/>
    <xf numFmtId="2" fontId="18" fillId="0" borderId="8" xfId="0" applyNumberFormat="1" applyFont="1" applyBorder="1" applyAlignment="1">
      <alignment horizontal="center" vertical="center"/>
    </xf>
    <xf numFmtId="0" fontId="18" fillId="0" borderId="8" xfId="0" applyFont="1" applyBorder="1" applyAlignment="1">
      <alignment horizontal="center" vertical="center"/>
    </xf>
    <xf numFmtId="165" fontId="18" fillId="0" borderId="8" xfId="0" applyNumberFormat="1" applyFont="1" applyBorder="1" applyAlignment="1">
      <alignment horizontal="center" vertical="center"/>
    </xf>
    <xf numFmtId="0" fontId="32" fillId="15" borderId="0" xfId="0" applyFont="1" applyFill="1"/>
    <xf numFmtId="1" fontId="32" fillId="15" borderId="0" xfId="0" applyNumberFormat="1" applyFont="1" applyFill="1" applyAlignment="1">
      <alignment horizontal="center"/>
    </xf>
    <xf numFmtId="2" fontId="32" fillId="15" borderId="0" xfId="0" applyNumberFormat="1" applyFont="1" applyFill="1" applyAlignment="1">
      <alignment horizontal="center"/>
    </xf>
    <xf numFmtId="2" fontId="0" fillId="0" borderId="3" xfId="0" applyNumberFormat="1" applyBorder="1" applyAlignment="1">
      <alignment horizontal="left"/>
    </xf>
    <xf numFmtId="2" fontId="0" fillId="0" borderId="0" xfId="0" applyNumberFormat="1" applyAlignment="1">
      <alignment horizontal="center"/>
    </xf>
    <xf numFmtId="0" fontId="28" fillId="8" borderId="0" xfId="0" applyFont="1" applyFill="1" applyAlignment="1">
      <alignment horizontal="left"/>
    </xf>
    <xf numFmtId="0" fontId="32" fillId="8" borderId="0" xfId="0" applyFont="1" applyFill="1"/>
    <xf numFmtId="0" fontId="34" fillId="9" borderId="0" xfId="0" applyFont="1" applyFill="1" applyAlignment="1">
      <alignment horizontal="center"/>
    </xf>
    <xf numFmtId="0" fontId="28" fillId="12" borderId="0" xfId="0" applyFont="1" applyFill="1" applyAlignment="1">
      <alignment horizontal="left"/>
    </xf>
    <xf numFmtId="0" fontId="0" fillId="0" borderId="0" xfId="0" applyAlignment="1">
      <alignment horizontal="center" wrapText="1"/>
    </xf>
    <xf numFmtId="0" fontId="33" fillId="16" borderId="0" xfId="0" applyFont="1" applyFill="1" applyAlignment="1">
      <alignment horizontal="center"/>
    </xf>
    <xf numFmtId="0" fontId="21" fillId="12" borderId="0" xfId="0" applyFont="1" applyFill="1" applyAlignment="1">
      <alignment horizontal="left"/>
    </xf>
    <xf numFmtId="0" fontId="10" fillId="0" borderId="0" xfId="0" applyFont="1" applyAlignment="1">
      <alignment horizontal="left"/>
    </xf>
    <xf numFmtId="0" fontId="0" fillId="12" borderId="0" xfId="0" applyFill="1" applyAlignment="1">
      <alignment horizontal="left"/>
    </xf>
    <xf numFmtId="0" fontId="15" fillId="0" borderId="0" xfId="0" applyFont="1" applyAlignment="1">
      <alignment horizontal="left"/>
    </xf>
    <xf numFmtId="0" fontId="29" fillId="9" borderId="0" xfId="0" applyFont="1" applyFill="1" applyAlignment="1">
      <alignment horizontal="left" vertical="center" indent="1"/>
    </xf>
    <xf numFmtId="0" fontId="28" fillId="9" borderId="0" xfId="0" applyFont="1" applyFill="1"/>
    <xf numFmtId="0" fontId="28" fillId="9" borderId="0" xfId="0" applyFont="1" applyFill="1" applyAlignment="1">
      <alignment horizontal="left"/>
    </xf>
    <xf numFmtId="0" fontId="27" fillId="12" borderId="0" xfId="0" applyFont="1" applyFill="1" applyAlignment="1">
      <alignment horizontal="left"/>
    </xf>
    <xf numFmtId="0" fontId="0" fillId="0" borderId="0" xfId="0" applyAlignment="1">
      <alignment horizontal="left" wrapText="1"/>
    </xf>
    <xf numFmtId="0" fontId="0" fillId="0" borderId="0" xfId="0" applyAlignment="1">
      <alignment horizontal="left"/>
    </xf>
    <xf numFmtId="0" fontId="12" fillId="0" borderId="10" xfId="0" applyFont="1" applyBorder="1"/>
    <xf numFmtId="0" fontId="12" fillId="0" borderId="11" xfId="0" applyFont="1" applyBorder="1"/>
    <xf numFmtId="0" fontId="26" fillId="0" borderId="10" xfId="0" applyFont="1" applyBorder="1" applyAlignment="1">
      <alignment horizontal="left" vertical="center" wrapText="1"/>
    </xf>
    <xf numFmtId="0" fontId="26" fillId="0" borderId="11" xfId="0" applyFont="1" applyBorder="1" applyAlignment="1">
      <alignment horizontal="left" vertical="center" wrapText="1"/>
    </xf>
    <xf numFmtId="0" fontId="6" fillId="9" borderId="0" xfId="0" applyFont="1" applyFill="1"/>
    <xf numFmtId="0" fontId="0" fillId="0" borderId="0" xfId="0"/>
    <xf numFmtId="0" fontId="0" fillId="0" borderId="2" xfId="0" applyBorder="1"/>
    <xf numFmtId="0" fontId="0" fillId="0" borderId="3" xfId="0" applyBorder="1"/>
    <xf numFmtId="0" fontId="0" fillId="0" borderId="0" xfId="0" applyAlignment="1">
      <alignment wrapText="1"/>
    </xf>
    <xf numFmtId="0" fontId="9" fillId="4" borderId="0" xfId="0" applyFont="1" applyFill="1"/>
    <xf numFmtId="0" fontId="0" fillId="0" borderId="5" xfId="0" applyBorder="1"/>
    <xf numFmtId="0" fontId="0" fillId="0" borderId="6" xfId="0" applyBorder="1"/>
    <xf numFmtId="0" fontId="0" fillId="0" borderId="7" xfId="0" applyBorder="1"/>
    <xf numFmtId="0" fontId="0" fillId="0" borderId="4" xfId="0" applyBorder="1"/>
    <xf numFmtId="0" fontId="0" fillId="4" borderId="0" xfId="0" applyFill="1"/>
    <xf numFmtId="0" fontId="6" fillId="6" borderId="0" xfId="0" applyFont="1" applyFill="1"/>
    <xf numFmtId="0" fontId="9" fillId="6" borderId="0" xfId="0" applyFont="1" applyFill="1"/>
    <xf numFmtId="0" fontId="9" fillId="10" borderId="0" xfId="0" applyFont="1" applyFill="1" applyAlignment="1">
      <alignment horizontal="left"/>
    </xf>
    <xf numFmtId="0" fontId="16" fillId="3" borderId="9" xfId="0" applyFont="1" applyFill="1" applyBorder="1" applyAlignment="1">
      <alignment horizontal="left" vertical="center" indent="1"/>
    </xf>
    <xf numFmtId="0" fontId="9" fillId="10" borderId="0" xfId="0" applyFont="1" applyFill="1"/>
    <xf numFmtId="0" fontId="3" fillId="0" borderId="0" xfId="1" applyFont="1" applyAlignment="1">
      <alignment vertical="center" wrapText="1"/>
    </xf>
    <xf numFmtId="0" fontId="2" fillId="0" borderId="0" xfId="1"/>
    <xf numFmtId="0" fontId="17" fillId="0" borderId="0" xfId="0" applyFont="1"/>
    <xf numFmtId="0" fontId="30" fillId="14" borderId="0" xfId="0" applyFont="1" applyFill="1"/>
    <xf numFmtId="0" fontId="31" fillId="0" borderId="0" xfId="0" applyFont="1"/>
    <xf numFmtId="0" fontId="0" fillId="0" borderId="0" xfId="0" applyAlignment="1">
      <alignment horizontal="left" vertical="center" indent="1"/>
    </xf>
    <xf numFmtId="2" fontId="36" fillId="0" borderId="0" xfId="2" applyNumberFormat="1" applyFont="1" applyAlignment="1">
      <alignment horizontal="center"/>
    </xf>
  </cellXfs>
  <cellStyles count="3">
    <cellStyle name="Normal 2" xfId="1" xr:uid="{A7982903-5EB6-4405-9A38-B00FDCF1181B}"/>
    <cellStyle name="Percent" xfId="2" builtinId="5"/>
    <cellStyle name="عادي" xfId="0" builtinId="0"/>
  </cellStyles>
  <dxfs count="3">
    <dxf>
      <numFmt numFmtId="0" formatCode="General"/>
    </dxf>
    <dxf>
      <fill>
        <patternFill patternType="solid">
          <fgColor indexed="64"/>
          <bgColor rgb="FF0070C0"/>
        </patternFill>
      </fill>
    </dxf>
    <dxf>
      <font>
        <color rgb="FF7E00A1"/>
      </font>
      <border>
        <left style="thin">
          <color auto="1"/>
        </left>
        <right style="thin">
          <color auto="1"/>
        </right>
        <top style="thin">
          <color auto="1"/>
        </top>
        <bottom style="thin">
          <color auto="1"/>
        </bottom>
      </border>
    </dxf>
  </dxfs>
  <tableStyles count="1" defaultTableStyle="TableStyleMedium9" defaultPivotStyle="PivotStyleLight16">
    <tableStyle name="نمط الجدول 1" pivot="0" count="1" xr9:uid="{FCFBD8BA-1830-4AEC-9FEA-A1E70B94C529}">
      <tableStyleElement type="wholeTable" dxfId="2"/>
    </tableStyle>
  </tableStyles>
  <colors>
    <mruColors>
      <color rgb="FF7E00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b="1">
                <a:solidFill>
                  <a:srgbClr val="00B050"/>
                </a:solidFill>
              </a:rPr>
              <a:t>Distribution of commute_minutes (Histogram)</a:t>
            </a:r>
            <a:endParaRPr lang="en-US">
              <a:solidFill>
                <a:srgbClr val="00B050"/>
              </a:solidFill>
            </a:endParaRP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US"/>
        </a:p>
      </c:txPr>
    </c:title>
    <c:autoTitleDeleted val="0"/>
    <c:plotArea>
      <c:layout/>
      <c:barChart>
        <c:barDir val="col"/>
        <c:grouping val="stacked"/>
        <c:varyColors val="0"/>
        <c:ser>
          <c:idx val="0"/>
          <c:order val="0"/>
          <c:tx>
            <c:strRef>
              <c:f>Descriptive_Statistics!$D$66</c:f>
              <c:strCache>
                <c:ptCount val="1"/>
                <c:pt idx="0">
                  <c:v>Frequency (students)</c:v>
                </c:pt>
              </c:strCache>
            </c:strRef>
          </c:tx>
          <c:spPr>
            <a:solidFill>
              <a:schemeClr val="accent3"/>
            </a:solidFill>
            <a:ln>
              <a:noFill/>
            </a:ln>
            <a:effectLst/>
          </c:spPr>
          <c:invertIfNegative val="0"/>
          <c:cat>
            <c:strRef>
              <c:f>Descriptive_Statistics!$A$67:$A$79</c:f>
              <c:strCache>
                <c:ptCount val="13"/>
                <c:pt idx="0">
                  <c:v>0–20</c:v>
                </c:pt>
                <c:pt idx="1">
                  <c:v>20–40</c:v>
                </c:pt>
                <c:pt idx="2">
                  <c:v>40–60</c:v>
                </c:pt>
                <c:pt idx="3">
                  <c:v>60–80</c:v>
                </c:pt>
                <c:pt idx="4">
                  <c:v>80–100</c:v>
                </c:pt>
                <c:pt idx="5">
                  <c:v>100–120</c:v>
                </c:pt>
                <c:pt idx="6">
                  <c:v>120–140</c:v>
                </c:pt>
                <c:pt idx="7">
                  <c:v>140–160</c:v>
                </c:pt>
                <c:pt idx="8">
                  <c:v>160–180</c:v>
                </c:pt>
                <c:pt idx="9">
                  <c:v>180–200</c:v>
                </c:pt>
                <c:pt idx="10">
                  <c:v>200–220</c:v>
                </c:pt>
                <c:pt idx="11">
                  <c:v>220–240</c:v>
                </c:pt>
                <c:pt idx="12">
                  <c:v>240–260</c:v>
                </c:pt>
              </c:strCache>
            </c:strRef>
          </c:cat>
          <c:val>
            <c:numRef>
              <c:f>Descriptive_Statistics!$D$67:$D$79</c:f>
              <c:numCache>
                <c:formatCode>General</c:formatCode>
                <c:ptCount val="13"/>
                <c:pt idx="0">
                  <c:v>63</c:v>
                </c:pt>
                <c:pt idx="1">
                  <c:v>91</c:v>
                </c:pt>
                <c:pt idx="2">
                  <c:v>40</c:v>
                </c:pt>
                <c:pt idx="3">
                  <c:v>32</c:v>
                </c:pt>
                <c:pt idx="4">
                  <c:v>8</c:v>
                </c:pt>
                <c:pt idx="5">
                  <c:v>6</c:v>
                </c:pt>
                <c:pt idx="6">
                  <c:v>5</c:v>
                </c:pt>
                <c:pt idx="7">
                  <c:v>2</c:v>
                </c:pt>
                <c:pt idx="8">
                  <c:v>1</c:v>
                </c:pt>
                <c:pt idx="9">
                  <c:v>2</c:v>
                </c:pt>
                <c:pt idx="10">
                  <c:v>2</c:v>
                </c:pt>
                <c:pt idx="11">
                  <c:v>1</c:v>
                </c:pt>
                <c:pt idx="12">
                  <c:v>1</c:v>
                </c:pt>
              </c:numCache>
            </c:numRef>
          </c:val>
          <c:extLst>
            <c:ext xmlns:c16="http://schemas.microsoft.com/office/drawing/2014/chart" uri="{C3380CC4-5D6E-409C-BE32-E72D297353CC}">
              <c16:uniqueId val="{00000000-4681-488F-BEFE-3E6EB60F3230}"/>
            </c:ext>
          </c:extLst>
        </c:ser>
        <c:dLbls>
          <c:showLegendKey val="0"/>
          <c:showVal val="0"/>
          <c:showCatName val="0"/>
          <c:showSerName val="0"/>
          <c:showPercent val="0"/>
          <c:showBubbleSize val="0"/>
        </c:dLbls>
        <c:gapWidth val="80"/>
        <c:overlap val="100"/>
        <c:axId val="658501791"/>
        <c:axId val="660840079"/>
      </c:barChart>
      <c:catAx>
        <c:axId val="65850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rgbClr val="00B050"/>
                    </a:solidFill>
                  </a:rPr>
                  <a:t>Bin</a:t>
                </a:r>
                <a:r>
                  <a:rPr lang="en-US" sz="1200" b="1" baseline="0">
                    <a:solidFill>
                      <a:srgbClr val="00B050"/>
                    </a:solidFill>
                  </a:rPr>
                  <a:t> (Minutes)</a:t>
                </a:r>
                <a:endParaRPr lang="ar-EG" sz="1200" b="1">
                  <a:solidFill>
                    <a:srgbClr val="00B05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40079"/>
        <c:crosses val="autoZero"/>
        <c:auto val="1"/>
        <c:lblAlgn val="ctr"/>
        <c:lblOffset val="100"/>
        <c:noMultiLvlLbl val="0"/>
      </c:catAx>
      <c:valAx>
        <c:axId val="660840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rgbClr val="00B050"/>
                    </a:solidFill>
                  </a:rPr>
                  <a:t>Frequency (students)</a:t>
                </a:r>
                <a:endParaRPr lang="ar-EG" sz="1200" b="1">
                  <a:solidFill>
                    <a:srgbClr val="00B050"/>
                  </a:solidFill>
                </a:endParaRPr>
              </a:p>
            </c:rich>
          </c:tx>
          <c:layout>
            <c:manualLayout>
              <c:xMode val="edge"/>
              <c:yMode val="edge"/>
              <c:x val="2.5000000000000001E-2"/>
              <c:y val="0.180555555555555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50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64</xdr:row>
      <xdr:rowOff>0</xdr:rowOff>
    </xdr:from>
    <xdr:to>
      <xdr:col>18</xdr:col>
      <xdr:colOff>30480</xdr:colOff>
      <xdr:row>80</xdr:row>
      <xdr:rowOff>91440</xdr:rowOff>
    </xdr:to>
    <xdr:graphicFrame macro="">
      <xdr:nvGraphicFramePr>
        <xdr:cNvPr id="4" name="مخطط 3">
          <a:extLst>
            <a:ext uri="{FF2B5EF4-FFF2-40B4-BE49-F238E27FC236}">
              <a16:creationId xmlns:a16="http://schemas.microsoft.com/office/drawing/2014/main" id="{0625F16B-0182-49FE-B9D7-BF32C12CF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184</xdr:row>
      <xdr:rowOff>30480</xdr:rowOff>
    </xdr:from>
    <xdr:to>
      <xdr:col>2</xdr:col>
      <xdr:colOff>2674620</xdr:colOff>
      <xdr:row>196</xdr:row>
      <xdr:rowOff>7620</xdr:rowOff>
    </xdr:to>
    <xdr:sp macro="" textlink="">
      <xdr:nvSpPr>
        <xdr:cNvPr id="5" name="مربع نص 4">
          <a:extLst>
            <a:ext uri="{FF2B5EF4-FFF2-40B4-BE49-F238E27FC236}">
              <a16:creationId xmlns:a16="http://schemas.microsoft.com/office/drawing/2014/main" id="{072C78E7-7A28-6FA7-8A0F-0C49B6543B7E}"/>
            </a:ext>
          </a:extLst>
        </xdr:cNvPr>
        <xdr:cNvSpPr txBox="1"/>
      </xdr:nvSpPr>
      <xdr:spPr>
        <a:xfrm>
          <a:off x="7620" y="35722560"/>
          <a:ext cx="8305800" cy="21717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100"/>
            <a:t>The Coefficient of Variation (CV) for commute time is 87.4%, compared to 12.4% for final score. This means commute times are roughly 7 times more variable relative to their mean than final scores.</a:t>
          </a:r>
        </a:p>
        <a:p>
          <a:endParaRPr lang="en-US" sz="1100"/>
        </a:p>
        <a:p>
          <a:r>
            <a:rPr lang="en-US" sz="1100"/>
            <a:t>Standard Deviation alone cannot be used for a direct comparison, as commute time is measured in minutes while final score is measured in points. The CV removes the unit of measurement by expressing spread as a percentage of the mean, enabling a fair comparison across different units.</a:t>
          </a:r>
        </a:p>
        <a:p>
          <a:endParaRPr lang="en-US" sz="1100"/>
        </a:p>
        <a:p>
          <a:r>
            <a:rPr lang="en-US" sz="1100"/>
            <a:t>From a decision-making perspective: This extreme variability (87.4%) translates into a reality where student circumstances are profoundly unequal—some commute under 10 minutes, others exceed 200 minutes. This dramatic disparity provides a strong statistical justification for a targeted policy aimed at the extreme right tail, rather than a blanket policy that would unfairly burden short-distance commuters.</a:t>
          </a:r>
        </a:p>
      </xdr:txBody>
    </xdr:sp>
    <xdr:clientData/>
  </xdr:twoCellAnchor>
  <xdr:twoCellAnchor>
    <xdr:from>
      <xdr:col>0</xdr:col>
      <xdr:colOff>38100</xdr:colOff>
      <xdr:row>176</xdr:row>
      <xdr:rowOff>15240</xdr:rowOff>
    </xdr:from>
    <xdr:to>
      <xdr:col>2</xdr:col>
      <xdr:colOff>2667000</xdr:colOff>
      <xdr:row>182</xdr:row>
      <xdr:rowOff>144780</xdr:rowOff>
    </xdr:to>
    <xdr:sp macro="" textlink="">
      <xdr:nvSpPr>
        <xdr:cNvPr id="6" name="مربع نص 5">
          <a:extLst>
            <a:ext uri="{FF2B5EF4-FFF2-40B4-BE49-F238E27FC236}">
              <a16:creationId xmlns:a16="http://schemas.microsoft.com/office/drawing/2014/main" id="{096A3F10-7712-500A-A255-B011605DBB9A}"/>
            </a:ext>
          </a:extLst>
        </xdr:cNvPr>
        <xdr:cNvSpPr txBox="1"/>
      </xdr:nvSpPr>
      <xdr:spPr>
        <a:xfrm>
          <a:off x="38100" y="34229040"/>
          <a:ext cx="8267700" cy="122682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100"/>
            <a:t>The Standard Deviation is 39.58 minutes, while the IQR is 37.98 (39) minutes. They describe spread in different ways. The Standard Deviation uses every observation in the dataset, so it is sensitive to extreme commute times and reflects the overall variability. In contrast, the IQR measures the spread of the middle 50% of observations and is much less sensitive to extreme values. In this dataset, the Standard Deviation and IQR are relatively close in magnitude, but the presence of unusually long commute times is better reflected by the Standard Deviation. Together with the right-skewed histogram and the presence of outliers, this indicates that extreme commute times contribute to the overall variability.</a:t>
          </a:r>
        </a:p>
      </xdr:txBody>
    </xdr:sp>
    <xdr:clientData/>
  </xdr:twoCellAnchor>
  <xdr:twoCellAnchor>
    <xdr:from>
      <xdr:col>0</xdr:col>
      <xdr:colOff>30480</xdr:colOff>
      <xdr:row>146</xdr:row>
      <xdr:rowOff>38100</xdr:rowOff>
    </xdr:from>
    <xdr:to>
      <xdr:col>3</xdr:col>
      <xdr:colOff>15240</xdr:colOff>
      <xdr:row>157</xdr:row>
      <xdr:rowOff>15240</xdr:rowOff>
    </xdr:to>
    <xdr:sp macro="" textlink="">
      <xdr:nvSpPr>
        <xdr:cNvPr id="7" name="مربع نص 6">
          <a:extLst>
            <a:ext uri="{FF2B5EF4-FFF2-40B4-BE49-F238E27FC236}">
              <a16:creationId xmlns:a16="http://schemas.microsoft.com/office/drawing/2014/main" id="{ABF74A6B-D4DC-1E2F-B4E5-680A7A3B9CFB}"/>
            </a:ext>
          </a:extLst>
        </xdr:cNvPr>
        <xdr:cNvSpPr txBox="1"/>
      </xdr:nvSpPr>
      <xdr:spPr>
        <a:xfrm>
          <a:off x="30480" y="28735020"/>
          <a:ext cx="8305800" cy="1988820"/>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lstStyle/>
        <a:p>
          <a:r>
            <a:rPr lang="en-US" sz="1100"/>
            <a:t>The mode is not very informative for commute_minutes because it is a continuous quantitative variable with many distinct values. In our dataset, the highest frequency is only 3 out of 254 observations, and three different values share this frequency: 16.1, 25.9, and 37.2 minutes. Therefore, the mode does not provide a meaningful representation of the typical commute.</a:t>
          </a:r>
        </a:p>
        <a:p>
          <a:endParaRPr lang="en-US" sz="1100"/>
        </a:p>
        <a:p>
          <a:r>
            <a:rPr lang="en-US" sz="1100"/>
            <a:t>For transport, however, the variable is nominal/categorical, with categories such as Car, Metro, and Bus. There is no meaningful numerical order, so calculating a Mean or Median is not appropriate. The Mode is therefore the appropriate measure of centre because it identifies the most frequently used transport category.</a:t>
          </a:r>
        </a:p>
      </xdr:txBody>
    </xdr:sp>
    <xdr:clientData/>
  </xdr:twoCellAnchor>
  <xdr:twoCellAnchor>
    <xdr:from>
      <xdr:col>0</xdr:col>
      <xdr:colOff>22860</xdr:colOff>
      <xdr:row>135</xdr:row>
      <xdr:rowOff>68580</xdr:rowOff>
    </xdr:from>
    <xdr:to>
      <xdr:col>4</xdr:col>
      <xdr:colOff>22860</xdr:colOff>
      <xdr:row>143</xdr:row>
      <xdr:rowOff>7620</xdr:rowOff>
    </xdr:to>
    <xdr:sp macro="" textlink="">
      <xdr:nvSpPr>
        <xdr:cNvPr id="8" name="مربع نص 7">
          <a:extLst>
            <a:ext uri="{FF2B5EF4-FFF2-40B4-BE49-F238E27FC236}">
              <a16:creationId xmlns:a16="http://schemas.microsoft.com/office/drawing/2014/main" id="{C054705F-7EE2-BA49-4249-679D3C2926B3}"/>
            </a:ext>
          </a:extLst>
        </xdr:cNvPr>
        <xdr:cNvSpPr txBox="1"/>
      </xdr:nvSpPr>
      <xdr:spPr>
        <a:xfrm>
          <a:off x="22860" y="26738580"/>
          <a:ext cx="10888980" cy="1402080"/>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lstStyle/>
        <a:p>
          <a:r>
            <a:rPr lang="en-US" sz="1100"/>
            <a:t>Both figures are mathematically correct; the mean and the median provide accurate information, but they address different questions.</a:t>
          </a:r>
        </a:p>
        <a:p>
          <a:endParaRPr lang="en-US" sz="1100"/>
        </a:p>
        <a:p>
          <a:r>
            <a:rPr lang="en-US" sz="1100"/>
            <a:t>The median (33.05 minutes) is better suited to this decision because the goal is to describe the typical student's experience. Since the distribution of commuting times is skewed to the right and contains a few very high values, the mean is influenced by these values ​​and gives the impression that the typical commute time is longer than most students actually experience.</a:t>
          </a:r>
        </a:p>
        <a:p>
          <a:endParaRPr lang="en-US" sz="1100"/>
        </a:p>
        <a:p>
          <a:r>
            <a:rPr lang="en-US" sz="1100"/>
            <a:t>The mean (45.30 minutes), on the other hand, is the more appropriate choice when the goal is to estimate the overall burden or the average for all students, such as calculating total commuting time at the cohort level or estimating resource requirements. In this case, all values—including outliers—must be fully considered.</a:t>
          </a:r>
        </a:p>
      </xdr:txBody>
    </xdr:sp>
    <xdr:clientData/>
  </xdr:twoCellAnchor>
  <xdr:twoCellAnchor>
    <xdr:from>
      <xdr:col>0</xdr:col>
      <xdr:colOff>91440</xdr:colOff>
      <xdr:row>117</xdr:row>
      <xdr:rowOff>106680</xdr:rowOff>
    </xdr:from>
    <xdr:to>
      <xdr:col>2</xdr:col>
      <xdr:colOff>2590800</xdr:colOff>
      <xdr:row>131</xdr:row>
      <xdr:rowOff>38100</xdr:rowOff>
    </xdr:to>
    <xdr:sp macro="" textlink="">
      <xdr:nvSpPr>
        <xdr:cNvPr id="9" name="مربع نص 8">
          <a:extLst>
            <a:ext uri="{FF2B5EF4-FFF2-40B4-BE49-F238E27FC236}">
              <a16:creationId xmlns:a16="http://schemas.microsoft.com/office/drawing/2014/main" id="{482DC0DF-551E-8AFF-E826-4B8BFCB67F25}"/>
            </a:ext>
          </a:extLst>
        </xdr:cNvPr>
        <xdr:cNvSpPr txBox="1"/>
      </xdr:nvSpPr>
      <xdr:spPr>
        <a:xfrm>
          <a:off x="91440" y="23469600"/>
          <a:ext cx="8138160" cy="2491740"/>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lstStyle/>
        <a:p>
          <a:r>
            <a:rPr lang="en-US" sz="1100"/>
            <a:t>I choose the Median (33.05 minutes) as the measure of the "typical" commute time.</a:t>
          </a:r>
        </a:p>
        <a:p>
          <a:endParaRPr lang="en-US" sz="1100"/>
        </a:p>
        <a:p>
          <a:r>
            <a:rPr lang="en-US" sz="1100"/>
            <a:t>The rationale is rooted in the right-skewed distribution, as indicated by the Mean being greater than the Median and supported by the histogram. In such a distribution, a minority of students with very long commutes, including some exceeding two hours, pull the arithmetic mean upward, making it less representative of the typical student. The Median, by contrast, is resistant to extreme values because it depends on the rank order of the observations rather than the magnitude of the extreme values. This makes it a robust measure for describing the typical commute in this dataset.</a:t>
          </a:r>
        </a:p>
        <a:p>
          <a:endParaRPr lang="en-US" sz="1100"/>
        </a:p>
        <a:p>
          <a:r>
            <a:rPr lang="en-US" sz="1100"/>
            <a:t>For describing the typical student's commute, the Median is therefore the more appropriate measure because it represents the central value of the observed commute times without being strongly influenced by the small number of extremely long commutes. The Mean remains useful when the goal is to describe the overall arithmetic average or when calculations depend on the total amount of commute time across all students.</a:t>
          </a:r>
        </a:p>
      </xdr:txBody>
    </xdr:sp>
    <xdr:clientData/>
  </xdr:twoCellAnchor>
  <xdr:twoCellAnchor>
    <xdr:from>
      <xdr:col>0</xdr:col>
      <xdr:colOff>30480</xdr:colOff>
      <xdr:row>95</xdr:row>
      <xdr:rowOff>38100</xdr:rowOff>
    </xdr:from>
    <xdr:to>
      <xdr:col>2</xdr:col>
      <xdr:colOff>2217420</xdr:colOff>
      <xdr:row>108</xdr:row>
      <xdr:rowOff>0</xdr:rowOff>
    </xdr:to>
    <xdr:sp macro="" textlink="">
      <xdr:nvSpPr>
        <xdr:cNvPr id="10" name="مربع نص 9">
          <a:extLst>
            <a:ext uri="{FF2B5EF4-FFF2-40B4-BE49-F238E27FC236}">
              <a16:creationId xmlns:a16="http://schemas.microsoft.com/office/drawing/2014/main" id="{5F4E8CD3-8AEE-8A1B-E1E0-DA593CAC5EA0}"/>
            </a:ext>
          </a:extLst>
        </xdr:cNvPr>
        <xdr:cNvSpPr txBox="1"/>
      </xdr:nvSpPr>
      <xdr:spPr>
        <a:xfrm>
          <a:off x="30480" y="18440400"/>
          <a:ext cx="7825740" cy="233934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US" sz="1400" b="0"/>
            <a:t>"Based on this histogram, can we claim that the commute problem is a universal challenge?</a:t>
          </a:r>
        </a:p>
        <a:p>
          <a:endParaRPr lang="en-US" sz="1400" b="0"/>
        </a:p>
        <a:p>
          <a:r>
            <a:rPr lang="en-US" sz="1400" b="0"/>
            <a:t>Clearly, no. The peak frequency sits squarely in the 20-to-40-minute bracket, confirming that the overwhelming majority of students face a manageable, short-to-moderate journey. The hardship is highly concentrated in the right tail—specifically, the top 5% of commuters who exceed 140 minutes.</a:t>
          </a:r>
        </a:p>
        <a:p>
          <a:endParaRPr lang="en-US" sz="1400" b="0"/>
        </a:p>
        <a:p>
          <a:r>
            <a:rPr lang="en-US" sz="1400" b="0"/>
            <a:t>Therefore, any cost-effective and equitable policy must pinpoint only the top 10% (students commuting over 80 minutes), as this subgroup alone is responsible for generating the elongated tail and artificially distorting the overall average. A blanket policy would be an inefficient use of resources; a targeted one would address the real source of the problem without penalizing the majority.</a:t>
          </a:r>
        </a:p>
      </xdr:txBody>
    </xdr:sp>
    <xdr:clientData/>
  </xdr:twoCellAnchor>
  <xdr:twoCellAnchor>
    <xdr:from>
      <xdr:col>0</xdr:col>
      <xdr:colOff>45720</xdr:colOff>
      <xdr:row>25</xdr:row>
      <xdr:rowOff>45720</xdr:rowOff>
    </xdr:from>
    <xdr:to>
      <xdr:col>2</xdr:col>
      <xdr:colOff>1767840</xdr:colOff>
      <xdr:row>26</xdr:row>
      <xdr:rowOff>53340</xdr:rowOff>
    </xdr:to>
    <xdr:sp macro="" textlink="">
      <xdr:nvSpPr>
        <xdr:cNvPr id="11" name="مربع نص 10">
          <a:extLst>
            <a:ext uri="{FF2B5EF4-FFF2-40B4-BE49-F238E27FC236}">
              <a16:creationId xmlns:a16="http://schemas.microsoft.com/office/drawing/2014/main" id="{6E0AF6D4-1907-D20F-6ADA-23154C8F3A2F}"/>
            </a:ext>
          </a:extLst>
        </xdr:cNvPr>
        <xdr:cNvSpPr txBox="1"/>
      </xdr:nvSpPr>
      <xdr:spPr>
        <a:xfrm>
          <a:off x="45720" y="4777740"/>
          <a:ext cx="7360920" cy="457200"/>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r>
            <a:rPr lang="en-US" sz="1100"/>
            <a:t>The mean (45.30 minutes) is higher than the median (33.05 minutes), with a difference of approximately 12.25 minutes.</a:t>
          </a:r>
        </a:p>
      </xdr:txBody>
    </xdr:sp>
    <xdr:clientData/>
  </xdr:twoCellAnchor>
  <xdr:twoCellAnchor>
    <xdr:from>
      <xdr:col>0</xdr:col>
      <xdr:colOff>68580</xdr:colOff>
      <xdr:row>28</xdr:row>
      <xdr:rowOff>121920</xdr:rowOff>
    </xdr:from>
    <xdr:to>
      <xdr:col>3</xdr:col>
      <xdr:colOff>91440</xdr:colOff>
      <xdr:row>37</xdr:row>
      <xdr:rowOff>167640</xdr:rowOff>
    </xdr:to>
    <xdr:sp macro="" textlink="">
      <xdr:nvSpPr>
        <xdr:cNvPr id="12" name="مربع نص 11">
          <a:extLst>
            <a:ext uri="{FF2B5EF4-FFF2-40B4-BE49-F238E27FC236}">
              <a16:creationId xmlns:a16="http://schemas.microsoft.com/office/drawing/2014/main" id="{E41A1436-5DB2-090B-9E20-B701F4691B9E}"/>
            </a:ext>
          </a:extLst>
        </xdr:cNvPr>
        <xdr:cNvSpPr txBox="1"/>
      </xdr:nvSpPr>
      <xdr:spPr>
        <a:xfrm>
          <a:off x="68580" y="5684520"/>
          <a:ext cx="8343900" cy="1691640"/>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r>
            <a:rPr lang="en-US" sz="1100"/>
            <a:t>The gap between the mean (45.30 min) and the median (33.05 min), approximately 12.25 minutes, is a definitive statistical indicator of positive (right) skewness in the commute-time distribution.</a:t>
          </a:r>
        </a:p>
        <a:p>
          <a:r>
            <a:rPr lang="en-US" sz="1100"/>
            <a:t>This skewness—confirmed by the histogram and the presence of exceptionally long commutes (some exceeding 200 minutes)—means that a small subset of students at the right tail are inflating the mean, while the median remains low because it represents the central value and is resistant to these outliers.</a:t>
          </a:r>
        </a:p>
        <a:p>
          <a:r>
            <a:rPr lang="en-US" sz="1100"/>
            <a:t>Consequently, the median (33.05 minutes) is the most honest and representative measure of the typical student's commute.</a:t>
          </a:r>
        </a:p>
        <a:p>
          <a:r>
            <a:rPr lang="en-US" sz="1100"/>
            <a:t>The mean, while arithmetically correct, would be misleading if used for policy design, as it overstates the problem and suggests universal hardship, when in reality the majority travel under 35 minutes.</a:t>
          </a:r>
        </a:p>
      </xdr:txBody>
    </xdr:sp>
    <xdr:clientData/>
  </xdr:twoCellAnchor>
  <xdr:twoCellAnchor>
    <xdr:from>
      <xdr:col>0</xdr:col>
      <xdr:colOff>38100</xdr:colOff>
      <xdr:row>41</xdr:row>
      <xdr:rowOff>99060</xdr:rowOff>
    </xdr:from>
    <xdr:to>
      <xdr:col>3</xdr:col>
      <xdr:colOff>7620</xdr:colOff>
      <xdr:row>46</xdr:row>
      <xdr:rowOff>7620</xdr:rowOff>
    </xdr:to>
    <xdr:sp macro="" textlink="">
      <xdr:nvSpPr>
        <xdr:cNvPr id="13" name="مربع نص 12">
          <a:extLst>
            <a:ext uri="{FF2B5EF4-FFF2-40B4-BE49-F238E27FC236}">
              <a16:creationId xmlns:a16="http://schemas.microsoft.com/office/drawing/2014/main" id="{85DF3D10-5FFC-6F04-AE6C-37831E9CE849}"/>
            </a:ext>
          </a:extLst>
        </xdr:cNvPr>
        <xdr:cNvSpPr txBox="1"/>
      </xdr:nvSpPr>
      <xdr:spPr>
        <a:xfrm>
          <a:off x="38100" y="8054340"/>
          <a:ext cx="8290560" cy="822960"/>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r>
            <a:rPr lang="en-US" sz="1100"/>
            <a:t>="The distribution is "Positive</a:t>
          </a:r>
          <a:r>
            <a:rPr lang="en-US" sz="1100" baseline="0"/>
            <a:t> skewed </a:t>
          </a:r>
          <a:r>
            <a:rPr lang="en-US" sz="1100"/>
            <a:t>". Because Mean &gt; Median, the tail of the distribution stretches out toward high values (long commutes), which is the definition of right (positive) skew. A perfectly symmetric distribution would have Mean = Median = Mode."</a:t>
          </a:r>
        </a:p>
      </xdr:txBody>
    </xdr:sp>
    <xdr:clientData/>
  </xdr:twoCellAnchor>
  <xdr:twoCellAnchor>
    <xdr:from>
      <xdr:col>0</xdr:col>
      <xdr:colOff>53340</xdr:colOff>
      <xdr:row>49</xdr:row>
      <xdr:rowOff>91440</xdr:rowOff>
    </xdr:from>
    <xdr:to>
      <xdr:col>1</xdr:col>
      <xdr:colOff>2324100</xdr:colOff>
      <xdr:row>61</xdr:row>
      <xdr:rowOff>22860</xdr:rowOff>
    </xdr:to>
    <xdr:sp macro="" textlink="">
      <xdr:nvSpPr>
        <xdr:cNvPr id="14" name="مربع نص 13">
          <a:extLst>
            <a:ext uri="{FF2B5EF4-FFF2-40B4-BE49-F238E27FC236}">
              <a16:creationId xmlns:a16="http://schemas.microsoft.com/office/drawing/2014/main" id="{96F94EDA-AA9D-DFE5-B571-484296FF8067}"/>
            </a:ext>
          </a:extLst>
        </xdr:cNvPr>
        <xdr:cNvSpPr txBox="1"/>
      </xdr:nvSpPr>
      <xdr:spPr>
        <a:xfrm>
          <a:off x="53340" y="9525000"/>
          <a:ext cx="5570220" cy="2125980"/>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r>
            <a:rPr lang="en-US" sz="1100"/>
            <a:t>Most ITI students experience a short-to-moderate commute; with a median of approximately 33.05 minutes , this offers the most honest reflection of the typical student's daily travel. However, a meaningful minority travel substantially further—some exceeding two hours—which creates a long right tail in the distribution.</a:t>
          </a:r>
        </a:p>
        <a:p>
          <a:endParaRPr lang="en-US" sz="1100"/>
        </a:p>
        <a:p>
          <a:r>
            <a:rPr lang="en-US" sz="1100"/>
            <a:t>The director’s observation that 'students travel about an hour' is arithmetically correct if he is referring to the mean (45.30 minutes). However, it is substantively misleading as a description of the typical student, because the mean is artificially inflated by that small group of extreme commuters. Therefore, the median is the robust, defensible,to quote as the 'typical' commute time</a:t>
          </a:r>
        </a:p>
      </xdr:txBody>
    </xdr:sp>
    <xdr:clientData/>
  </xdr:twoCellAnchor>
  <xdr:twoCellAnchor>
    <xdr:from>
      <xdr:col>0</xdr:col>
      <xdr:colOff>22860</xdr:colOff>
      <xdr:row>80</xdr:row>
      <xdr:rowOff>45720</xdr:rowOff>
    </xdr:from>
    <xdr:to>
      <xdr:col>2</xdr:col>
      <xdr:colOff>1638300</xdr:colOff>
      <xdr:row>84</xdr:row>
      <xdr:rowOff>670560</xdr:rowOff>
    </xdr:to>
    <xdr:sp macro="" textlink="">
      <xdr:nvSpPr>
        <xdr:cNvPr id="15" name="مربع نص 14">
          <a:extLst>
            <a:ext uri="{FF2B5EF4-FFF2-40B4-BE49-F238E27FC236}">
              <a16:creationId xmlns:a16="http://schemas.microsoft.com/office/drawing/2014/main" id="{DDE97FCD-061D-649E-7A08-8B6C77178E5A}"/>
            </a:ext>
          </a:extLst>
        </xdr:cNvPr>
        <xdr:cNvSpPr txBox="1"/>
      </xdr:nvSpPr>
      <xdr:spPr>
        <a:xfrm>
          <a:off x="22860" y="15163800"/>
          <a:ext cx="7254240" cy="1356360"/>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r>
            <a:rPr lang="en-US" sz="1100"/>
            <a:t>Reading the histogram: The highest frequencies are concentrated in the lower commute-time ranges, especially 20–40 minutes, while the frequencies decrease as commute time increases. A small number of observations extend beyond 150 minutes, with some reaching over 200 minutes, creating a long right tail. This pattern visually supports the conclusion that the distribution is positively (right) skewed, which is also consistent with the mean (45.30 minutes) being higher than the median (33.05 minutes). The histogram shows one dominant concentration of observations and no clear second cluster.</a:t>
          </a:r>
        </a:p>
      </xdr:txBody>
    </xdr:sp>
    <xdr:clientData/>
  </xdr:twoCellAnchor>
  <xdr:twoCellAnchor>
    <xdr:from>
      <xdr:col>0</xdr:col>
      <xdr:colOff>83820</xdr:colOff>
      <xdr:row>88</xdr:row>
      <xdr:rowOff>45720</xdr:rowOff>
    </xdr:from>
    <xdr:to>
      <xdr:col>1</xdr:col>
      <xdr:colOff>1981200</xdr:colOff>
      <xdr:row>92</xdr:row>
      <xdr:rowOff>76200</xdr:rowOff>
    </xdr:to>
    <xdr:sp macro="" textlink="">
      <xdr:nvSpPr>
        <xdr:cNvPr id="16" name="مربع نص 15">
          <a:extLst>
            <a:ext uri="{FF2B5EF4-FFF2-40B4-BE49-F238E27FC236}">
              <a16:creationId xmlns:a16="http://schemas.microsoft.com/office/drawing/2014/main" id="{11E0E479-BFF3-5B30-1F0B-5C2476230F20}"/>
            </a:ext>
          </a:extLst>
        </xdr:cNvPr>
        <xdr:cNvSpPr txBox="1"/>
      </xdr:nvSpPr>
      <xdr:spPr>
        <a:xfrm>
          <a:off x="83820" y="17122140"/>
          <a:ext cx="5196840" cy="762000"/>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r>
            <a:rPr lang="en-US" sz="1100"/>
            <a:t>Because most observations are concentrated on the left at lower commute times, while a long tail extends toward the higher values on the right. This is also consistent with the mean being higher than the median.</a:t>
          </a:r>
        </a:p>
      </xdr:txBody>
    </xdr:sp>
    <xdr:clientData/>
  </xdr:twoCellAnchor>
  <xdr:twoCellAnchor>
    <xdr:from>
      <xdr:col>0</xdr:col>
      <xdr:colOff>68580</xdr:colOff>
      <xdr:row>221</xdr:row>
      <xdr:rowOff>167640</xdr:rowOff>
    </xdr:from>
    <xdr:to>
      <xdr:col>2</xdr:col>
      <xdr:colOff>1104900</xdr:colOff>
      <xdr:row>228</xdr:row>
      <xdr:rowOff>167640</xdr:rowOff>
    </xdr:to>
    <xdr:sp macro="" textlink="">
      <xdr:nvSpPr>
        <xdr:cNvPr id="17" name="مربع نص 16">
          <a:extLst>
            <a:ext uri="{FF2B5EF4-FFF2-40B4-BE49-F238E27FC236}">
              <a16:creationId xmlns:a16="http://schemas.microsoft.com/office/drawing/2014/main" id="{91D1C07E-5072-2F37-8216-537BAF5D8335}"/>
            </a:ext>
          </a:extLst>
        </xdr:cNvPr>
        <xdr:cNvSpPr txBox="1"/>
      </xdr:nvSpPr>
      <xdr:spPr>
        <a:xfrm>
          <a:off x="68580" y="42656760"/>
          <a:ext cx="6675120" cy="128016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400"/>
            <a:t>Note: Blank rows above indicate that there are fewer than 20 outliers; the formula-driven count is reported as “Number of outliers” above. All 15 flagged commute values lie above the Upper Fence, with none below the Lower Fence. The Lower Fence is negative, and because commute time cannot be negative, there are no possible lower-side outliers in this dataset.</a:t>
          </a:r>
        </a:p>
      </xdr:txBody>
    </xdr:sp>
    <xdr:clientData/>
  </xdr:twoCellAnchor>
  <xdr:twoCellAnchor>
    <xdr:from>
      <xdr:col>0</xdr:col>
      <xdr:colOff>45720</xdr:colOff>
      <xdr:row>231</xdr:row>
      <xdr:rowOff>45720</xdr:rowOff>
    </xdr:from>
    <xdr:to>
      <xdr:col>3</xdr:col>
      <xdr:colOff>7620</xdr:colOff>
      <xdr:row>241</xdr:row>
      <xdr:rowOff>76200</xdr:rowOff>
    </xdr:to>
    <xdr:sp macro="" textlink="">
      <xdr:nvSpPr>
        <xdr:cNvPr id="18" name="مربع نص 17">
          <a:extLst>
            <a:ext uri="{FF2B5EF4-FFF2-40B4-BE49-F238E27FC236}">
              <a16:creationId xmlns:a16="http://schemas.microsoft.com/office/drawing/2014/main" id="{4DC5EC00-1AAF-9788-7026-5AABD983875B}"/>
            </a:ext>
          </a:extLst>
        </xdr:cNvPr>
        <xdr:cNvSpPr txBox="1"/>
      </xdr:nvSpPr>
      <xdr:spPr>
        <a:xfrm>
          <a:off x="45720" y="44409360"/>
          <a:ext cx="8282940" cy="185928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200" b="0"/>
            <a:t>Applying the 1.5 × IQR rule identifies 15 observations above the Upper Fence of 115.31 minutes, with commute times ranging from 116.1 to 256.5 minutes.</a:t>
          </a:r>
        </a:p>
        <a:p>
          <a:r>
            <a:rPr lang="en-US" sz="1200" b="0"/>
            <a:t>These values are plausible and consistent with the cleaning log, which classifies them as genuine long-commute observations rather than data-entry errors. Although commute times of 2–4 hours are unusual, they are not physically impossible, and no evidence in the cleaned data indicates that these observations should be treated as invalid.</a:t>
          </a:r>
        </a:p>
        <a:p>
          <a:r>
            <a:rPr lang="en-US" sz="1200" b="0"/>
            <a:t>Therefore, these observations should be retained in the dataset rather than deleted. For describing the typical commute, robust measures such as the Median and IQR are more appropriate because they are less sensitive to extreme values. The outliers should remain part of the analysis because they represent genuine variation in students' commuting experiences.</a:t>
          </a:r>
        </a:p>
      </xdr:txBody>
    </xdr:sp>
    <xdr:clientData/>
  </xdr:twoCellAnchor>
  <xdr:twoCellAnchor>
    <xdr:from>
      <xdr:col>0</xdr:col>
      <xdr:colOff>53340</xdr:colOff>
      <xdr:row>244</xdr:row>
      <xdr:rowOff>91440</xdr:rowOff>
    </xdr:from>
    <xdr:to>
      <xdr:col>1</xdr:col>
      <xdr:colOff>2263140</xdr:colOff>
      <xdr:row>262</xdr:row>
      <xdr:rowOff>129540</xdr:rowOff>
    </xdr:to>
    <xdr:sp macro="" textlink="">
      <xdr:nvSpPr>
        <xdr:cNvPr id="19" name="مربع نص 18">
          <a:extLst>
            <a:ext uri="{FF2B5EF4-FFF2-40B4-BE49-F238E27FC236}">
              <a16:creationId xmlns:a16="http://schemas.microsoft.com/office/drawing/2014/main" id="{7C7058C2-57BD-EE09-1399-81058832C960}"/>
            </a:ext>
          </a:extLst>
        </xdr:cNvPr>
        <xdr:cNvSpPr txBox="1"/>
      </xdr:nvSpPr>
      <xdr:spPr>
        <a:xfrm>
          <a:off x="53340" y="46878240"/>
          <a:ext cx="5509260" cy="332994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200" b="1"/>
            <a:t>An outlier does not necessarily mean an error.</a:t>
          </a:r>
          <a:endParaRPr lang="ar-EG" sz="1200" b="1"/>
        </a:p>
        <a:p>
          <a:endParaRPr lang="en-US" sz="1200"/>
        </a:p>
        <a:p>
          <a:r>
            <a:rPr lang="en-US" sz="1200" b="1"/>
            <a:t>An ERROR</a:t>
          </a:r>
          <a:r>
            <a:rPr lang="en-US" sz="1200"/>
            <a:t> is a value that is invalid according to the defined data rules—for example, a negative commute time (-5 minutes) or an impossible age value such as 999 years. Such values should be corrected or treated as missing during the data-cleaning process because they do not represent valid observations.</a:t>
          </a:r>
        </a:p>
        <a:p>
          <a:r>
            <a:rPr lang="en-US" sz="1200" b="1"/>
            <a:t>An OUTLIER</a:t>
          </a:r>
          <a:r>
            <a:rPr lang="en-US" sz="1200"/>
            <a:t>, by contrast, is a rare but plausible observation—for example, a genuine 4-hour commute. These values should be </a:t>
          </a:r>
          <a:r>
            <a:rPr lang="en-US" sz="1200" b="0"/>
            <a:t>retained</a:t>
          </a:r>
          <a:r>
            <a:rPr lang="en-US" sz="1200"/>
            <a:t> when there is evidence that they are valid, because deleting genuine observations does not clean the data; it removes real variation and can change the population the analysis is intended to describe.</a:t>
          </a:r>
        </a:p>
        <a:p>
          <a:r>
            <a:rPr lang="en-US" sz="1200" b="1"/>
            <a:t>The correct response to genuine outliers</a:t>
          </a:r>
          <a:r>
            <a:rPr lang="en-US" sz="1200"/>
            <a:t> is therefore to keep them and use appropriate statistical measures when interpreting the data. In particular, the </a:t>
          </a:r>
          <a:r>
            <a:rPr lang="en-US" sz="1200" b="1"/>
            <a:t>Median and IQR</a:t>
          </a:r>
          <a:r>
            <a:rPr lang="en-US" sz="1200"/>
            <a:t> are useful for describing the typical commute because they are less sensitive to extreme values. Measures such as the </a:t>
          </a:r>
          <a:r>
            <a:rPr lang="en-US" sz="1200" b="1"/>
            <a:t>Mean, Standard Deviation, and CV</a:t>
          </a:r>
          <a:r>
            <a:rPr lang="en-US" sz="1200"/>
            <a:t> should still be reported when describing overall variability, while recognizing that they are more influenced by extreme observations.</a:t>
          </a:r>
        </a:p>
        <a:p>
          <a:endParaRPr lang="en-US" sz="1200"/>
        </a:p>
      </xdr:txBody>
    </xdr:sp>
    <xdr:clientData/>
  </xdr:twoCellAnchor>
  <xdr:twoCellAnchor>
    <xdr:from>
      <xdr:col>0</xdr:col>
      <xdr:colOff>68580</xdr:colOff>
      <xdr:row>266</xdr:row>
      <xdr:rowOff>121920</xdr:rowOff>
    </xdr:from>
    <xdr:to>
      <xdr:col>1</xdr:col>
      <xdr:colOff>2331720</xdr:colOff>
      <xdr:row>278</xdr:row>
      <xdr:rowOff>106680</xdr:rowOff>
    </xdr:to>
    <xdr:sp macro="" textlink="">
      <xdr:nvSpPr>
        <xdr:cNvPr id="20" name="مربع نص 19">
          <a:extLst>
            <a:ext uri="{FF2B5EF4-FFF2-40B4-BE49-F238E27FC236}">
              <a16:creationId xmlns:a16="http://schemas.microsoft.com/office/drawing/2014/main" id="{328DC869-7758-D453-CB81-303B4102A048}"/>
            </a:ext>
          </a:extLst>
        </xdr:cNvPr>
        <xdr:cNvSpPr txBox="1"/>
      </xdr:nvSpPr>
      <xdr:spPr>
        <a:xfrm>
          <a:off x="68580" y="50977800"/>
          <a:ext cx="5562600" cy="2179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 single average collapses the experiences of 254 students into one number and hides how the observations are distributed around it. Two datasets can have the same mean while having very different levels of spread and different distributions. In this dataset, reporting only the Mean commute time (45.30 minutes) could make the typical commute appear longer than it is for a large share of students, because a small number of very long commutes pull the mean upward. The Median (33.05 minutes), together with the Standard Deviation, IQR, histogram, and identified outliers, provides a more complete picture of the distribution and shows that commute times vary substantially across students. Therefore, the average alone is not sufficient to describe the typical commute or to support decisions about students' commuting needs.</a:t>
          </a:r>
        </a:p>
      </xdr:txBody>
    </xdr:sp>
    <xdr:clientData/>
  </xdr:twoCellAnchor>
  <xdr:twoCellAnchor>
    <xdr:from>
      <xdr:col>0</xdr:col>
      <xdr:colOff>60960</xdr:colOff>
      <xdr:row>334</xdr:row>
      <xdr:rowOff>22860</xdr:rowOff>
    </xdr:from>
    <xdr:to>
      <xdr:col>2</xdr:col>
      <xdr:colOff>2674620</xdr:colOff>
      <xdr:row>352</xdr:row>
      <xdr:rowOff>53340</xdr:rowOff>
    </xdr:to>
    <xdr:sp macro="" textlink="">
      <xdr:nvSpPr>
        <xdr:cNvPr id="23" name="مربع نص 22">
          <a:extLst>
            <a:ext uri="{FF2B5EF4-FFF2-40B4-BE49-F238E27FC236}">
              <a16:creationId xmlns:a16="http://schemas.microsoft.com/office/drawing/2014/main" id="{7026E245-F3F3-63E9-8EBB-D55ED2E080D7}"/>
            </a:ext>
          </a:extLst>
        </xdr:cNvPr>
        <xdr:cNvSpPr txBox="1"/>
      </xdr:nvSpPr>
      <xdr:spPr>
        <a:xfrm>
          <a:off x="60960" y="64419480"/>
          <a:ext cx="8252460" cy="332232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100" b="1"/>
            <a:t>1. Is the commute problem real?</a:t>
          </a:r>
        </a:p>
        <a:p>
          <a:r>
            <a:rPr lang="en-US" sz="1100"/>
            <a:t>Yes. The mean commute is 45.30 minutes, while the median is 33.05 minutes. A minority of students face commutes of 2 to over 4 hours, showing that the problem is significant for some students.</a:t>
          </a:r>
        </a:p>
        <a:p>
          <a:endParaRPr lang="en-US" sz="1100"/>
        </a:p>
        <a:p>
          <a:r>
            <a:rPr lang="en-US" sz="1100" b="1"/>
            <a:t>2. Median is better than Mean for the “typical” student.</a:t>
          </a:r>
        </a:p>
        <a:p>
          <a:r>
            <a:rPr lang="en-US" sz="1100"/>
            <a:t>The data is right-skewed due to extreme long commutes, so the Median better represents the typical student’s experience (C1–C2).</a:t>
          </a:r>
        </a:p>
        <a:p>
          <a:endParaRPr lang="en-US" sz="1100"/>
        </a:p>
        <a:p>
          <a:r>
            <a:rPr lang="en-US" sz="1100" b="1"/>
            <a:t>3. Spread is important.</a:t>
          </a:r>
        </a:p>
        <a:p>
          <a:r>
            <a:rPr lang="en-US" sz="1100"/>
            <a:t>The Standard Deviation, IQR, and CV show high variability in commute times, meaning the average alone does not represent all students’ experiences (C3).</a:t>
          </a:r>
        </a:p>
        <a:p>
          <a:endParaRPr lang="en-US" sz="1100"/>
        </a:p>
        <a:p>
          <a:r>
            <a:rPr lang="en-US" sz="1100" b="1"/>
            <a:t>4. The outliers are genuine.</a:t>
          </a:r>
        </a:p>
        <a:p>
          <a:r>
            <a:rPr lang="en-US" sz="1100"/>
            <a:t>The extreme commute times are valid outliers, not errors, so they should remain in the dataset because they represent students with real long commutes (C3).</a:t>
          </a:r>
        </a:p>
        <a:p>
          <a:endParaRPr lang="en-US" sz="1100"/>
        </a:p>
        <a:p>
          <a:r>
            <a:rPr lang="en-US" sz="1100" b="1"/>
            <a:t>5. The problem is concentrated in Cairo.</a:t>
          </a:r>
        </a:p>
        <a:p>
          <a:pPr marL="0" marR="0" lvl="0" indent="0" defTabSz="914400" eaLnBrk="1" fontAlgn="auto" latinLnBrk="0" hangingPunct="1">
            <a:lnSpc>
              <a:spcPct val="100000"/>
            </a:lnSpc>
            <a:spcBef>
              <a:spcPts val="0"/>
            </a:spcBef>
            <a:spcAft>
              <a:spcPts val="0"/>
            </a:spcAft>
            <a:buClrTx/>
            <a:buSzTx/>
            <a:buFontTx/>
            <a:buNone/>
            <a:tabLst/>
            <a:defRPr/>
          </a:pPr>
          <a:r>
            <a:rPr lang="en-US" sz="1100"/>
            <a:t>Cairo contributes substantially to the higher overall mean. 12 out of the 15 outliers above 115 minutes are from Cairo (</a:t>
          </a:r>
          <a:r>
            <a:rPr lang="en-US" b="1"/>
            <a:t>80% of the identified outliers are from Cairo</a:t>
          </a:r>
          <a:r>
            <a:rPr lang="en-US" sz="1100"/>
            <a:t>). Therefore, a branch-aware policy would be more appropriate than applying one uniform threshold (C4).</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8D9C55-F5B4-4E67-A93A-5D1DD67E162F}" name="الجدول1" displayName="الجدول1" ref="A4:D16" totalsRowShown="0" headerRowDxfId="1">
  <autoFilter ref="A4:D16" xr:uid="{078D9C55-F5B4-4E67-A93A-5D1DD67E162F}"/>
  <tableColumns count="4">
    <tableColumn id="1" xr3:uid="{CC79D2B5-2350-42B9-98DB-236A422CC68C}" name="Statistics"/>
    <tableColumn id="2" xr3:uid="{C6863433-2AE4-48C4-B090-0427ECB5F74E}" name="Fromula"/>
    <tableColumn id="3" xr3:uid="{F7820938-C73F-4459-909C-85B3DB17190C}" name="Result" dataDxfId="0">
      <calculatedColumnFormula>COUNT(cleaned_data!$A$2:$A$261)</calculatedColumnFormula>
    </tableColumn>
    <tableColumn id="4" xr3:uid="{97D30F43-C83D-45A0-856A-4163F2074C37}" name="Unit"/>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2"/>
  <sheetViews>
    <sheetView topLeftCell="A108" workbookViewId="0"/>
  </sheetViews>
  <sheetFormatPr defaultRowHeight="14.4" x14ac:dyDescent="0.3"/>
  <cols>
    <col min="1" max="1" width="10" bestFit="1" customWidth="1"/>
    <col min="2" max="2" width="9.5546875" bestFit="1" customWidth="1"/>
    <col min="3" max="3" width="18.109375" bestFit="1" customWidth="1"/>
    <col min="4" max="4" width="6.88671875" bestFit="1" customWidth="1"/>
    <col min="5" max="5" width="8.44140625" bestFit="1" customWidth="1"/>
    <col min="6" max="7" width="17" bestFit="1" customWidth="1"/>
    <col min="8" max="8" width="11.109375" bestFit="1" customWidth="1"/>
    <col min="10" max="10" width="15.44140625" bestFit="1" customWidth="1"/>
    <col min="11" max="11" width="10.33203125" bestFit="1" customWidth="1"/>
    <col min="13" max="13" width="13.21875" bestFit="1" customWidth="1"/>
    <col min="14" max="14" width="12.88671875" bestFit="1" customWidth="1"/>
    <col min="15" max="15" width="10.1093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t="s">
        <v>20</v>
      </c>
      <c r="G2" t="s">
        <v>21</v>
      </c>
      <c r="H2">
        <v>5.5</v>
      </c>
      <c r="I2">
        <v>2</v>
      </c>
      <c r="J2" t="s">
        <v>22</v>
      </c>
      <c r="K2" t="s">
        <v>23</v>
      </c>
      <c r="L2" t="s">
        <v>24</v>
      </c>
      <c r="M2">
        <v>0</v>
      </c>
      <c r="N2" t="s">
        <v>25</v>
      </c>
      <c r="O2" t="s">
        <v>26</v>
      </c>
    </row>
    <row r="3" spans="1:15" x14ac:dyDescent="0.3">
      <c r="A3" t="s">
        <v>27</v>
      </c>
      <c r="B3" t="s">
        <v>28</v>
      </c>
      <c r="C3" t="s">
        <v>17</v>
      </c>
      <c r="D3" t="s">
        <v>29</v>
      </c>
      <c r="E3" t="s">
        <v>30</v>
      </c>
      <c r="F3" t="s">
        <v>31</v>
      </c>
      <c r="G3" t="s">
        <v>32</v>
      </c>
      <c r="H3">
        <v>6.6</v>
      </c>
      <c r="I3">
        <v>3</v>
      </c>
      <c r="J3" t="s">
        <v>33</v>
      </c>
      <c r="K3" t="s">
        <v>23</v>
      </c>
      <c r="L3" t="s">
        <v>34</v>
      </c>
      <c r="M3">
        <v>1</v>
      </c>
      <c r="N3" t="s">
        <v>35</v>
      </c>
      <c r="O3" t="s">
        <v>36</v>
      </c>
    </row>
    <row r="4" spans="1:15" x14ac:dyDescent="0.3">
      <c r="A4" t="s">
        <v>37</v>
      </c>
      <c r="B4" t="s">
        <v>16</v>
      </c>
      <c r="C4" t="s">
        <v>17</v>
      </c>
      <c r="D4" t="s">
        <v>18</v>
      </c>
      <c r="E4" t="s">
        <v>38</v>
      </c>
      <c r="F4" t="s">
        <v>39</v>
      </c>
      <c r="G4" t="s">
        <v>40</v>
      </c>
      <c r="H4">
        <v>7.7</v>
      </c>
      <c r="I4">
        <v>0</v>
      </c>
      <c r="J4" t="s">
        <v>33</v>
      </c>
      <c r="K4" t="s">
        <v>23</v>
      </c>
      <c r="L4" t="s">
        <v>41</v>
      </c>
      <c r="M4">
        <v>0</v>
      </c>
      <c r="O4" t="s">
        <v>26</v>
      </c>
    </row>
    <row r="5" spans="1:15" x14ac:dyDescent="0.3">
      <c r="A5" t="s">
        <v>42</v>
      </c>
      <c r="B5" t="s">
        <v>16</v>
      </c>
      <c r="C5" t="s">
        <v>43</v>
      </c>
      <c r="D5" t="s">
        <v>29</v>
      </c>
      <c r="E5" t="s">
        <v>38</v>
      </c>
      <c r="F5" t="s">
        <v>44</v>
      </c>
      <c r="G5" t="s">
        <v>45</v>
      </c>
      <c r="H5">
        <v>6.3</v>
      </c>
      <c r="I5">
        <v>2</v>
      </c>
      <c r="J5" t="s">
        <v>33</v>
      </c>
      <c r="K5" t="s">
        <v>23</v>
      </c>
      <c r="L5" t="s">
        <v>34</v>
      </c>
      <c r="M5">
        <v>1</v>
      </c>
      <c r="O5" t="s">
        <v>46</v>
      </c>
    </row>
    <row r="6" spans="1:15" x14ac:dyDescent="0.3">
      <c r="A6" t="s">
        <v>47</v>
      </c>
      <c r="B6" t="s">
        <v>48</v>
      </c>
      <c r="C6" t="s">
        <v>43</v>
      </c>
      <c r="D6" t="s">
        <v>18</v>
      </c>
      <c r="E6" t="s">
        <v>38</v>
      </c>
      <c r="F6" t="s">
        <v>49</v>
      </c>
      <c r="G6" t="s">
        <v>50</v>
      </c>
      <c r="H6">
        <v>6.9</v>
      </c>
      <c r="I6">
        <v>3</v>
      </c>
      <c r="J6" t="s">
        <v>22</v>
      </c>
      <c r="K6" t="s">
        <v>51</v>
      </c>
      <c r="L6" t="s">
        <v>24</v>
      </c>
      <c r="M6">
        <v>0</v>
      </c>
      <c r="N6" t="s">
        <v>52</v>
      </c>
      <c r="O6" t="s">
        <v>53</v>
      </c>
    </row>
    <row r="7" spans="1:15" x14ac:dyDescent="0.3">
      <c r="A7" t="s">
        <v>54</v>
      </c>
      <c r="B7" t="s">
        <v>16</v>
      </c>
      <c r="C7" t="s">
        <v>55</v>
      </c>
      <c r="D7" t="s">
        <v>18</v>
      </c>
      <c r="E7" t="s">
        <v>56</v>
      </c>
      <c r="F7" t="s">
        <v>57</v>
      </c>
      <c r="G7" t="s">
        <v>58</v>
      </c>
      <c r="H7">
        <v>5.2</v>
      </c>
      <c r="I7">
        <v>4</v>
      </c>
      <c r="J7" t="s">
        <v>59</v>
      </c>
      <c r="K7" t="s">
        <v>23</v>
      </c>
      <c r="L7" t="s">
        <v>60</v>
      </c>
      <c r="M7">
        <v>1</v>
      </c>
      <c r="N7" t="s">
        <v>61</v>
      </c>
      <c r="O7" t="s">
        <v>62</v>
      </c>
    </row>
    <row r="8" spans="1:15" x14ac:dyDescent="0.3">
      <c r="A8" t="s">
        <v>63</v>
      </c>
      <c r="B8" t="s">
        <v>16</v>
      </c>
      <c r="C8" t="s">
        <v>17</v>
      </c>
      <c r="D8" t="s">
        <v>18</v>
      </c>
      <c r="E8" t="s">
        <v>19</v>
      </c>
      <c r="F8" t="s">
        <v>64</v>
      </c>
      <c r="G8" t="s">
        <v>65</v>
      </c>
      <c r="H8">
        <v>6.2</v>
      </c>
      <c r="I8">
        <v>3</v>
      </c>
      <c r="J8" t="s">
        <v>66</v>
      </c>
      <c r="K8" t="s">
        <v>23</v>
      </c>
      <c r="L8" t="s">
        <v>41</v>
      </c>
      <c r="M8">
        <v>0</v>
      </c>
      <c r="N8" t="s">
        <v>35</v>
      </c>
      <c r="O8" t="s">
        <v>67</v>
      </c>
    </row>
    <row r="9" spans="1:15" x14ac:dyDescent="0.3">
      <c r="A9" t="s">
        <v>68</v>
      </c>
      <c r="B9" t="s">
        <v>16</v>
      </c>
      <c r="C9" t="s">
        <v>17</v>
      </c>
      <c r="D9" t="s">
        <v>29</v>
      </c>
      <c r="E9" t="s">
        <v>69</v>
      </c>
      <c r="F9" t="s">
        <v>70</v>
      </c>
      <c r="G9" t="s">
        <v>71</v>
      </c>
      <c r="H9">
        <v>7.4</v>
      </c>
      <c r="I9">
        <v>3</v>
      </c>
      <c r="J9" t="s">
        <v>22</v>
      </c>
      <c r="K9" t="s">
        <v>23</v>
      </c>
      <c r="L9" t="s">
        <v>41</v>
      </c>
      <c r="M9">
        <v>3</v>
      </c>
      <c r="N9" t="s">
        <v>35</v>
      </c>
      <c r="O9" t="s">
        <v>72</v>
      </c>
    </row>
    <row r="10" spans="1:15" x14ac:dyDescent="0.3">
      <c r="A10" t="s">
        <v>73</v>
      </c>
      <c r="B10" t="s">
        <v>28</v>
      </c>
      <c r="C10" t="s">
        <v>17</v>
      </c>
      <c r="D10" t="s">
        <v>18</v>
      </c>
      <c r="E10" t="s">
        <v>74</v>
      </c>
      <c r="F10" t="s">
        <v>75</v>
      </c>
      <c r="G10" t="s">
        <v>76</v>
      </c>
      <c r="H10">
        <v>6.1</v>
      </c>
      <c r="I10">
        <v>5</v>
      </c>
      <c r="J10" t="s">
        <v>33</v>
      </c>
      <c r="K10" t="s">
        <v>23</v>
      </c>
      <c r="L10" t="s">
        <v>77</v>
      </c>
      <c r="M10">
        <v>1</v>
      </c>
      <c r="N10" t="s">
        <v>25</v>
      </c>
      <c r="O10" t="s">
        <v>78</v>
      </c>
    </row>
    <row r="11" spans="1:15" x14ac:dyDescent="0.3">
      <c r="A11" t="s">
        <v>79</v>
      </c>
      <c r="B11" t="s">
        <v>80</v>
      </c>
      <c r="C11" t="s">
        <v>17</v>
      </c>
      <c r="D11" t="s">
        <v>18</v>
      </c>
      <c r="E11" t="s">
        <v>56</v>
      </c>
      <c r="F11" t="s">
        <v>81</v>
      </c>
      <c r="G11" t="s">
        <v>82</v>
      </c>
      <c r="H11">
        <v>7.3</v>
      </c>
      <c r="I11">
        <v>4</v>
      </c>
      <c r="J11" t="s">
        <v>33</v>
      </c>
      <c r="K11" t="s">
        <v>51</v>
      </c>
      <c r="L11" t="s">
        <v>60</v>
      </c>
      <c r="M11">
        <v>0</v>
      </c>
      <c r="N11" t="s">
        <v>83</v>
      </c>
      <c r="O11" t="s">
        <v>84</v>
      </c>
    </row>
    <row r="12" spans="1:15" x14ac:dyDescent="0.3">
      <c r="A12" t="s">
        <v>85</v>
      </c>
      <c r="B12" t="s">
        <v>86</v>
      </c>
      <c r="C12" t="s">
        <v>43</v>
      </c>
      <c r="D12" t="s">
        <v>29</v>
      </c>
      <c r="E12" t="s">
        <v>69</v>
      </c>
      <c r="F12" t="s">
        <v>87</v>
      </c>
      <c r="G12" t="s">
        <v>88</v>
      </c>
      <c r="H12">
        <v>7.3</v>
      </c>
      <c r="I12">
        <v>7</v>
      </c>
      <c r="J12" t="s">
        <v>22</v>
      </c>
      <c r="K12" t="s">
        <v>89</v>
      </c>
      <c r="L12" t="s">
        <v>60</v>
      </c>
      <c r="M12">
        <v>2</v>
      </c>
      <c r="O12" t="s">
        <v>90</v>
      </c>
    </row>
    <row r="13" spans="1:15" x14ac:dyDescent="0.3">
      <c r="A13" t="s">
        <v>91</v>
      </c>
      <c r="B13" t="s">
        <v>92</v>
      </c>
      <c r="C13" t="s">
        <v>17</v>
      </c>
      <c r="D13" t="s">
        <v>18</v>
      </c>
      <c r="E13" t="s">
        <v>93</v>
      </c>
      <c r="F13" t="s">
        <v>94</v>
      </c>
      <c r="G13" t="s">
        <v>95</v>
      </c>
      <c r="H13">
        <v>6.7</v>
      </c>
      <c r="I13">
        <v>6</v>
      </c>
      <c r="J13" t="s">
        <v>66</v>
      </c>
      <c r="K13" t="s">
        <v>23</v>
      </c>
      <c r="L13" t="s">
        <v>41</v>
      </c>
      <c r="M13">
        <v>0</v>
      </c>
      <c r="N13" t="s">
        <v>83</v>
      </c>
      <c r="O13" t="s">
        <v>96</v>
      </c>
    </row>
    <row r="14" spans="1:15" x14ac:dyDescent="0.3">
      <c r="A14" t="s">
        <v>97</v>
      </c>
      <c r="B14" t="s">
        <v>98</v>
      </c>
      <c r="C14" t="s">
        <v>43</v>
      </c>
      <c r="D14" t="s">
        <v>29</v>
      </c>
      <c r="E14" t="s">
        <v>74</v>
      </c>
      <c r="G14" t="s">
        <v>99</v>
      </c>
      <c r="H14">
        <v>6.1</v>
      </c>
      <c r="I14">
        <v>2</v>
      </c>
      <c r="J14" t="s">
        <v>66</v>
      </c>
      <c r="K14" t="s">
        <v>23</v>
      </c>
      <c r="L14" t="s">
        <v>24</v>
      </c>
      <c r="M14">
        <v>0</v>
      </c>
      <c r="N14" t="s">
        <v>35</v>
      </c>
      <c r="O14" t="s">
        <v>100</v>
      </c>
    </row>
    <row r="15" spans="1:15" x14ac:dyDescent="0.3">
      <c r="A15" t="s">
        <v>101</v>
      </c>
      <c r="B15" t="s">
        <v>16</v>
      </c>
      <c r="C15" t="s">
        <v>17</v>
      </c>
      <c r="D15" t="s">
        <v>18</v>
      </c>
      <c r="E15" t="s">
        <v>69</v>
      </c>
      <c r="F15" t="s">
        <v>102</v>
      </c>
      <c r="G15" t="s">
        <v>103</v>
      </c>
      <c r="H15">
        <v>6.3</v>
      </c>
      <c r="I15">
        <v>5</v>
      </c>
      <c r="J15" t="s">
        <v>66</v>
      </c>
      <c r="K15" t="s">
        <v>23</v>
      </c>
      <c r="L15" t="s">
        <v>41</v>
      </c>
      <c r="M15">
        <v>0</v>
      </c>
      <c r="N15" t="s">
        <v>61</v>
      </c>
      <c r="O15" t="s">
        <v>104</v>
      </c>
    </row>
    <row r="16" spans="1:15" x14ac:dyDescent="0.3">
      <c r="A16" t="s">
        <v>105</v>
      </c>
      <c r="B16" t="s">
        <v>80</v>
      </c>
      <c r="C16" t="s">
        <v>106</v>
      </c>
      <c r="D16" t="s">
        <v>18</v>
      </c>
      <c r="E16" t="s">
        <v>107</v>
      </c>
      <c r="F16" t="s">
        <v>108</v>
      </c>
      <c r="G16" t="s">
        <v>109</v>
      </c>
      <c r="H16">
        <v>7.9</v>
      </c>
      <c r="I16">
        <v>1</v>
      </c>
      <c r="J16" t="s">
        <v>66</v>
      </c>
      <c r="K16" t="s">
        <v>110</v>
      </c>
      <c r="L16" t="s">
        <v>41</v>
      </c>
      <c r="M16">
        <v>0</v>
      </c>
      <c r="N16" t="s">
        <v>52</v>
      </c>
      <c r="O16" t="s">
        <v>111</v>
      </c>
    </row>
    <row r="17" spans="1:15" x14ac:dyDescent="0.3">
      <c r="A17" t="s">
        <v>112</v>
      </c>
      <c r="B17" t="s">
        <v>86</v>
      </c>
      <c r="C17" t="s">
        <v>55</v>
      </c>
      <c r="D17" t="s">
        <v>29</v>
      </c>
      <c r="E17" t="s">
        <v>38</v>
      </c>
      <c r="F17" t="s">
        <v>113</v>
      </c>
      <c r="G17" t="s">
        <v>114</v>
      </c>
      <c r="H17">
        <v>6.9</v>
      </c>
      <c r="I17">
        <v>4</v>
      </c>
      <c r="J17" t="s">
        <v>22</v>
      </c>
      <c r="K17" t="s">
        <v>23</v>
      </c>
      <c r="L17" t="s">
        <v>41</v>
      </c>
      <c r="M17">
        <v>0</v>
      </c>
      <c r="O17" t="s">
        <v>115</v>
      </c>
    </row>
    <row r="18" spans="1:15" x14ac:dyDescent="0.3">
      <c r="A18" t="s">
        <v>116</v>
      </c>
      <c r="B18" t="s">
        <v>80</v>
      </c>
      <c r="C18" t="s">
        <v>43</v>
      </c>
      <c r="D18" t="s">
        <v>18</v>
      </c>
      <c r="E18" t="s">
        <v>56</v>
      </c>
      <c r="F18" t="s">
        <v>117</v>
      </c>
      <c r="G18" t="s">
        <v>62</v>
      </c>
      <c r="H18">
        <v>7.5</v>
      </c>
      <c r="I18">
        <v>2</v>
      </c>
      <c r="J18" t="s">
        <v>22</v>
      </c>
      <c r="K18" t="s">
        <v>23</v>
      </c>
      <c r="L18" t="s">
        <v>41</v>
      </c>
      <c r="M18">
        <v>0</v>
      </c>
      <c r="N18" t="s">
        <v>83</v>
      </c>
      <c r="O18" t="s">
        <v>118</v>
      </c>
    </row>
    <row r="19" spans="1:15" x14ac:dyDescent="0.3">
      <c r="A19" t="s">
        <v>119</v>
      </c>
      <c r="B19" t="s">
        <v>16</v>
      </c>
      <c r="C19" t="s">
        <v>17</v>
      </c>
      <c r="D19" t="s">
        <v>29</v>
      </c>
      <c r="E19" t="s">
        <v>74</v>
      </c>
      <c r="F19" t="s">
        <v>120</v>
      </c>
      <c r="G19" t="s">
        <v>121</v>
      </c>
      <c r="H19">
        <v>7</v>
      </c>
      <c r="I19">
        <v>6</v>
      </c>
      <c r="J19" t="s">
        <v>59</v>
      </c>
      <c r="K19" t="s">
        <v>23</v>
      </c>
      <c r="L19" t="s">
        <v>34</v>
      </c>
      <c r="M19">
        <v>0</v>
      </c>
      <c r="N19" t="s">
        <v>35</v>
      </c>
      <c r="O19" t="s">
        <v>122</v>
      </c>
    </row>
    <row r="20" spans="1:15" x14ac:dyDescent="0.3">
      <c r="A20" t="s">
        <v>123</v>
      </c>
      <c r="B20" t="s">
        <v>80</v>
      </c>
      <c r="C20" t="s">
        <v>43</v>
      </c>
      <c r="D20" t="s">
        <v>29</v>
      </c>
      <c r="E20" t="s">
        <v>38</v>
      </c>
      <c r="F20" t="s">
        <v>124</v>
      </c>
      <c r="G20" t="s">
        <v>125</v>
      </c>
      <c r="H20">
        <v>7.1</v>
      </c>
      <c r="I20">
        <v>4</v>
      </c>
      <c r="J20" t="s">
        <v>22</v>
      </c>
      <c r="K20" t="s">
        <v>23</v>
      </c>
      <c r="L20" t="s">
        <v>126</v>
      </c>
      <c r="M20">
        <v>0</v>
      </c>
      <c r="N20" t="s">
        <v>61</v>
      </c>
      <c r="O20" t="s">
        <v>127</v>
      </c>
    </row>
    <row r="21" spans="1:15" x14ac:dyDescent="0.3">
      <c r="A21" t="s">
        <v>128</v>
      </c>
      <c r="B21" t="s">
        <v>28</v>
      </c>
      <c r="C21" t="s">
        <v>129</v>
      </c>
      <c r="D21" t="s">
        <v>18</v>
      </c>
      <c r="E21" t="s">
        <v>69</v>
      </c>
      <c r="F21" t="s">
        <v>130</v>
      </c>
      <c r="G21" t="s">
        <v>32</v>
      </c>
      <c r="H21">
        <v>6</v>
      </c>
      <c r="I21">
        <v>5</v>
      </c>
      <c r="J21" t="s">
        <v>66</v>
      </c>
      <c r="K21" t="s">
        <v>51</v>
      </c>
      <c r="L21" t="s">
        <v>34</v>
      </c>
      <c r="M21">
        <v>1</v>
      </c>
      <c r="N21" t="s">
        <v>35</v>
      </c>
      <c r="O21" t="s">
        <v>131</v>
      </c>
    </row>
    <row r="22" spans="1:15" x14ac:dyDescent="0.3">
      <c r="A22" t="s">
        <v>132</v>
      </c>
      <c r="B22" t="s">
        <v>16</v>
      </c>
      <c r="C22" t="s">
        <v>17</v>
      </c>
      <c r="D22" t="s">
        <v>18</v>
      </c>
      <c r="E22" t="s">
        <v>19</v>
      </c>
      <c r="F22" t="s">
        <v>133</v>
      </c>
      <c r="G22" t="s">
        <v>134</v>
      </c>
      <c r="H22">
        <v>7.2</v>
      </c>
      <c r="I22">
        <v>6</v>
      </c>
      <c r="J22" t="s">
        <v>66</v>
      </c>
      <c r="K22" t="s">
        <v>23</v>
      </c>
      <c r="L22" t="s">
        <v>77</v>
      </c>
      <c r="M22">
        <v>0</v>
      </c>
      <c r="N22" t="s">
        <v>35</v>
      </c>
      <c r="O22" t="s">
        <v>135</v>
      </c>
    </row>
    <row r="23" spans="1:15" x14ac:dyDescent="0.3">
      <c r="A23" t="s">
        <v>136</v>
      </c>
      <c r="B23" t="s">
        <v>48</v>
      </c>
      <c r="C23" t="s">
        <v>17</v>
      </c>
      <c r="D23" t="s">
        <v>18</v>
      </c>
      <c r="E23" t="s">
        <v>69</v>
      </c>
      <c r="F23" t="s">
        <v>137</v>
      </c>
      <c r="G23" t="s">
        <v>138</v>
      </c>
      <c r="H23">
        <v>6.6</v>
      </c>
      <c r="I23">
        <v>3</v>
      </c>
      <c r="J23" t="s">
        <v>66</v>
      </c>
      <c r="K23" t="s">
        <v>23</v>
      </c>
      <c r="L23" t="s">
        <v>60</v>
      </c>
      <c r="M23">
        <v>1</v>
      </c>
      <c r="N23" t="s">
        <v>83</v>
      </c>
      <c r="O23" t="s">
        <v>139</v>
      </c>
    </row>
    <row r="24" spans="1:15" x14ac:dyDescent="0.3">
      <c r="A24" t="s">
        <v>140</v>
      </c>
      <c r="B24" t="s">
        <v>16</v>
      </c>
      <c r="C24" t="s">
        <v>17</v>
      </c>
      <c r="D24" t="s">
        <v>29</v>
      </c>
      <c r="E24" t="s">
        <v>56</v>
      </c>
      <c r="F24" t="s">
        <v>141</v>
      </c>
      <c r="G24" t="s">
        <v>142</v>
      </c>
      <c r="H24">
        <v>7</v>
      </c>
      <c r="I24">
        <v>4</v>
      </c>
      <c r="J24" t="s">
        <v>22</v>
      </c>
      <c r="K24" t="s">
        <v>23</v>
      </c>
      <c r="L24" t="s">
        <v>143</v>
      </c>
      <c r="M24">
        <v>0</v>
      </c>
      <c r="N24" t="s">
        <v>35</v>
      </c>
      <c r="O24" t="s">
        <v>144</v>
      </c>
    </row>
    <row r="25" spans="1:15" x14ac:dyDescent="0.3">
      <c r="A25" t="s">
        <v>145</v>
      </c>
      <c r="B25" t="s">
        <v>16</v>
      </c>
      <c r="C25" t="s">
        <v>55</v>
      </c>
      <c r="D25" t="s">
        <v>29</v>
      </c>
      <c r="E25" t="s">
        <v>146</v>
      </c>
      <c r="F25" t="s">
        <v>45</v>
      </c>
      <c r="G25" t="s">
        <v>147</v>
      </c>
      <c r="H25">
        <v>6.9</v>
      </c>
      <c r="I25">
        <v>1</v>
      </c>
      <c r="J25" t="s">
        <v>22</v>
      </c>
      <c r="K25" t="s">
        <v>89</v>
      </c>
      <c r="L25" t="s">
        <v>41</v>
      </c>
      <c r="M25">
        <v>2</v>
      </c>
      <c r="O25" t="s">
        <v>148</v>
      </c>
    </row>
    <row r="26" spans="1:15" x14ac:dyDescent="0.3">
      <c r="A26" t="s">
        <v>149</v>
      </c>
      <c r="B26" t="s">
        <v>16</v>
      </c>
      <c r="C26" t="s">
        <v>150</v>
      </c>
      <c r="D26" t="s">
        <v>18</v>
      </c>
      <c r="E26" t="s">
        <v>19</v>
      </c>
      <c r="F26" t="s">
        <v>151</v>
      </c>
      <c r="G26" t="s">
        <v>152</v>
      </c>
      <c r="H26">
        <v>8.6999999999999993</v>
      </c>
      <c r="I26">
        <v>4</v>
      </c>
      <c r="J26" t="s">
        <v>22</v>
      </c>
      <c r="K26" t="s">
        <v>23</v>
      </c>
      <c r="L26" t="s">
        <v>41</v>
      </c>
      <c r="M26">
        <v>0</v>
      </c>
      <c r="O26" t="s">
        <v>153</v>
      </c>
    </row>
    <row r="27" spans="1:15" x14ac:dyDescent="0.3">
      <c r="A27" t="s">
        <v>154</v>
      </c>
      <c r="B27" t="s">
        <v>48</v>
      </c>
      <c r="C27" t="s">
        <v>17</v>
      </c>
      <c r="D27" t="s">
        <v>29</v>
      </c>
      <c r="E27" t="s">
        <v>146</v>
      </c>
      <c r="F27" t="s">
        <v>155</v>
      </c>
      <c r="G27" t="s">
        <v>156</v>
      </c>
      <c r="H27">
        <v>6.1</v>
      </c>
      <c r="I27">
        <v>3</v>
      </c>
      <c r="J27" t="s">
        <v>33</v>
      </c>
      <c r="K27" t="s">
        <v>23</v>
      </c>
      <c r="L27" t="s">
        <v>77</v>
      </c>
      <c r="M27">
        <v>2</v>
      </c>
      <c r="N27" t="s">
        <v>157</v>
      </c>
      <c r="O27" t="s">
        <v>158</v>
      </c>
    </row>
    <row r="28" spans="1:15" x14ac:dyDescent="0.3">
      <c r="A28" t="s">
        <v>159</v>
      </c>
      <c r="B28" t="s">
        <v>48</v>
      </c>
      <c r="C28" t="s">
        <v>43</v>
      </c>
      <c r="D28" t="s">
        <v>18</v>
      </c>
      <c r="E28" t="s">
        <v>146</v>
      </c>
      <c r="F28" t="s">
        <v>160</v>
      </c>
      <c r="G28" t="s">
        <v>161</v>
      </c>
      <c r="H28">
        <v>7</v>
      </c>
      <c r="I28">
        <v>7</v>
      </c>
      <c r="J28" t="s">
        <v>66</v>
      </c>
      <c r="K28" t="s">
        <v>23</v>
      </c>
      <c r="L28" t="s">
        <v>41</v>
      </c>
      <c r="M28">
        <v>1</v>
      </c>
      <c r="N28" t="s">
        <v>52</v>
      </c>
      <c r="O28" t="s">
        <v>36</v>
      </c>
    </row>
    <row r="29" spans="1:15" x14ac:dyDescent="0.3">
      <c r="A29" t="s">
        <v>162</v>
      </c>
      <c r="B29" t="s">
        <v>80</v>
      </c>
      <c r="C29" t="s">
        <v>43</v>
      </c>
      <c r="D29" t="s">
        <v>18</v>
      </c>
      <c r="E29" t="s">
        <v>69</v>
      </c>
      <c r="G29" t="s">
        <v>163</v>
      </c>
      <c r="H29">
        <v>6.6</v>
      </c>
      <c r="I29">
        <v>3</v>
      </c>
      <c r="J29" t="s">
        <v>22</v>
      </c>
      <c r="K29" t="s">
        <v>23</v>
      </c>
      <c r="L29" t="s">
        <v>77</v>
      </c>
      <c r="M29">
        <v>1</v>
      </c>
      <c r="N29" t="s">
        <v>35</v>
      </c>
      <c r="O29" t="s">
        <v>164</v>
      </c>
    </row>
    <row r="30" spans="1:15" x14ac:dyDescent="0.3">
      <c r="A30" t="s">
        <v>165</v>
      </c>
      <c r="B30" t="s">
        <v>86</v>
      </c>
      <c r="C30" t="s">
        <v>43</v>
      </c>
      <c r="D30" t="s">
        <v>29</v>
      </c>
      <c r="E30" t="s">
        <v>74</v>
      </c>
      <c r="F30" t="s">
        <v>166</v>
      </c>
      <c r="G30" t="s">
        <v>167</v>
      </c>
      <c r="H30">
        <v>6.7</v>
      </c>
      <c r="I30">
        <v>1</v>
      </c>
      <c r="J30" t="s">
        <v>33</v>
      </c>
      <c r="K30" t="s">
        <v>51</v>
      </c>
      <c r="L30" t="s">
        <v>24</v>
      </c>
      <c r="M30">
        <v>0</v>
      </c>
      <c r="N30" t="s">
        <v>61</v>
      </c>
      <c r="O30" t="s">
        <v>168</v>
      </c>
    </row>
    <row r="31" spans="1:15" x14ac:dyDescent="0.3">
      <c r="A31" t="s">
        <v>169</v>
      </c>
      <c r="B31" t="s">
        <v>86</v>
      </c>
      <c r="C31" t="s">
        <v>17</v>
      </c>
      <c r="D31" t="s">
        <v>18</v>
      </c>
      <c r="E31" t="s">
        <v>74</v>
      </c>
      <c r="F31" t="s">
        <v>170</v>
      </c>
      <c r="G31" t="s">
        <v>171</v>
      </c>
      <c r="H31">
        <v>6.8</v>
      </c>
      <c r="I31">
        <v>7</v>
      </c>
      <c r="J31" t="s">
        <v>33</v>
      </c>
      <c r="K31" t="s">
        <v>23</v>
      </c>
      <c r="L31" t="s">
        <v>77</v>
      </c>
      <c r="M31">
        <v>0</v>
      </c>
      <c r="N31" t="s">
        <v>25</v>
      </c>
      <c r="O31" t="s">
        <v>115</v>
      </c>
    </row>
    <row r="32" spans="1:15" x14ac:dyDescent="0.3">
      <c r="A32" t="s">
        <v>172</v>
      </c>
      <c r="B32" t="s">
        <v>86</v>
      </c>
      <c r="C32" t="s">
        <v>17</v>
      </c>
      <c r="D32" t="s">
        <v>29</v>
      </c>
      <c r="E32" t="s">
        <v>30</v>
      </c>
      <c r="F32" t="s">
        <v>173</v>
      </c>
      <c r="G32" t="s">
        <v>174</v>
      </c>
      <c r="H32">
        <v>5.7</v>
      </c>
      <c r="I32">
        <v>0</v>
      </c>
      <c r="J32" t="s">
        <v>22</v>
      </c>
      <c r="K32" t="s">
        <v>51</v>
      </c>
      <c r="L32" t="s">
        <v>34</v>
      </c>
      <c r="M32">
        <v>1</v>
      </c>
      <c r="N32" t="s">
        <v>61</v>
      </c>
      <c r="O32" t="s">
        <v>175</v>
      </c>
    </row>
    <row r="33" spans="1:15" x14ac:dyDescent="0.3">
      <c r="A33" t="s">
        <v>176</v>
      </c>
      <c r="B33" t="s">
        <v>16</v>
      </c>
      <c r="C33" t="s">
        <v>55</v>
      </c>
      <c r="D33" t="s">
        <v>18</v>
      </c>
      <c r="E33" t="s">
        <v>146</v>
      </c>
      <c r="F33" t="s">
        <v>20</v>
      </c>
      <c r="G33" t="s">
        <v>177</v>
      </c>
      <c r="H33">
        <v>8.1</v>
      </c>
      <c r="I33">
        <v>2</v>
      </c>
      <c r="J33" t="s">
        <v>33</v>
      </c>
      <c r="K33" t="s">
        <v>23</v>
      </c>
      <c r="L33" t="s">
        <v>34</v>
      </c>
      <c r="M33">
        <v>0</v>
      </c>
      <c r="O33" t="s">
        <v>135</v>
      </c>
    </row>
    <row r="34" spans="1:15" x14ac:dyDescent="0.3">
      <c r="A34" t="s">
        <v>178</v>
      </c>
      <c r="B34" t="s">
        <v>48</v>
      </c>
      <c r="C34" t="s">
        <v>43</v>
      </c>
      <c r="D34" t="s">
        <v>18</v>
      </c>
      <c r="E34" t="s">
        <v>179</v>
      </c>
      <c r="F34" t="s">
        <v>99</v>
      </c>
      <c r="G34" t="s">
        <v>180</v>
      </c>
      <c r="H34">
        <v>6.4</v>
      </c>
      <c r="I34">
        <v>2</v>
      </c>
      <c r="J34" t="s">
        <v>22</v>
      </c>
      <c r="K34" t="s">
        <v>51</v>
      </c>
      <c r="L34" t="s">
        <v>41</v>
      </c>
      <c r="M34">
        <v>1</v>
      </c>
      <c r="N34" t="s">
        <v>25</v>
      </c>
      <c r="O34" t="s">
        <v>181</v>
      </c>
    </row>
    <row r="35" spans="1:15" x14ac:dyDescent="0.3">
      <c r="A35" t="s">
        <v>182</v>
      </c>
      <c r="B35" t="s">
        <v>183</v>
      </c>
      <c r="C35" t="s">
        <v>17</v>
      </c>
      <c r="D35" t="s">
        <v>18</v>
      </c>
      <c r="E35" t="s">
        <v>38</v>
      </c>
      <c r="F35" t="s">
        <v>184</v>
      </c>
      <c r="G35" t="s">
        <v>87</v>
      </c>
      <c r="H35">
        <v>6.3</v>
      </c>
      <c r="I35">
        <v>3</v>
      </c>
      <c r="J35" t="s">
        <v>33</v>
      </c>
      <c r="K35" t="s">
        <v>23</v>
      </c>
      <c r="L35" t="s">
        <v>41</v>
      </c>
      <c r="M35">
        <v>0</v>
      </c>
      <c r="N35" t="s">
        <v>25</v>
      </c>
      <c r="O35" t="s">
        <v>185</v>
      </c>
    </row>
    <row r="36" spans="1:15" x14ac:dyDescent="0.3">
      <c r="A36" t="s">
        <v>186</v>
      </c>
      <c r="B36" t="s">
        <v>16</v>
      </c>
      <c r="C36" t="s">
        <v>55</v>
      </c>
      <c r="D36" t="s">
        <v>29</v>
      </c>
      <c r="E36" t="s">
        <v>187</v>
      </c>
      <c r="F36" t="s">
        <v>188</v>
      </c>
      <c r="G36" t="s">
        <v>189</v>
      </c>
      <c r="H36">
        <v>7.8</v>
      </c>
      <c r="I36">
        <v>2</v>
      </c>
      <c r="J36" t="s">
        <v>59</v>
      </c>
      <c r="K36" t="s">
        <v>23</v>
      </c>
      <c r="L36" t="s">
        <v>190</v>
      </c>
      <c r="M36">
        <v>0</v>
      </c>
      <c r="N36" t="s">
        <v>61</v>
      </c>
      <c r="O36" t="s">
        <v>191</v>
      </c>
    </row>
    <row r="37" spans="1:15" x14ac:dyDescent="0.3">
      <c r="A37" t="s">
        <v>192</v>
      </c>
      <c r="B37" t="s">
        <v>80</v>
      </c>
      <c r="C37" t="s">
        <v>150</v>
      </c>
      <c r="D37" t="s">
        <v>18</v>
      </c>
      <c r="E37" t="s">
        <v>146</v>
      </c>
      <c r="F37" t="s">
        <v>193</v>
      </c>
      <c r="G37" t="s">
        <v>194</v>
      </c>
      <c r="H37">
        <v>7.6</v>
      </c>
      <c r="I37">
        <v>1</v>
      </c>
      <c r="J37" t="s">
        <v>33</v>
      </c>
      <c r="K37" t="s">
        <v>23</v>
      </c>
      <c r="L37" t="s">
        <v>41</v>
      </c>
      <c r="M37">
        <v>0</v>
      </c>
      <c r="N37" t="s">
        <v>61</v>
      </c>
      <c r="O37" t="s">
        <v>195</v>
      </c>
    </row>
    <row r="38" spans="1:15" x14ac:dyDescent="0.3">
      <c r="A38" t="s">
        <v>196</v>
      </c>
      <c r="B38" t="s">
        <v>16</v>
      </c>
      <c r="C38" t="s">
        <v>17</v>
      </c>
      <c r="D38" t="s">
        <v>29</v>
      </c>
      <c r="E38" t="s">
        <v>69</v>
      </c>
      <c r="F38" t="s">
        <v>197</v>
      </c>
      <c r="G38" t="s">
        <v>198</v>
      </c>
      <c r="H38">
        <v>6</v>
      </c>
      <c r="I38">
        <v>5</v>
      </c>
      <c r="J38" t="s">
        <v>59</v>
      </c>
      <c r="K38" t="s">
        <v>51</v>
      </c>
      <c r="L38" t="s">
        <v>60</v>
      </c>
      <c r="M38">
        <v>0</v>
      </c>
      <c r="N38" t="s">
        <v>35</v>
      </c>
      <c r="O38" t="s">
        <v>199</v>
      </c>
    </row>
    <row r="39" spans="1:15" x14ac:dyDescent="0.3">
      <c r="A39" t="s">
        <v>200</v>
      </c>
      <c r="B39" t="s">
        <v>48</v>
      </c>
      <c r="C39" t="s">
        <v>17</v>
      </c>
      <c r="D39" t="s">
        <v>18</v>
      </c>
      <c r="E39" t="s">
        <v>38</v>
      </c>
      <c r="F39" t="s">
        <v>117</v>
      </c>
      <c r="G39" t="s">
        <v>201</v>
      </c>
      <c r="H39">
        <v>6.6</v>
      </c>
      <c r="I39">
        <v>3</v>
      </c>
      <c r="J39" t="s">
        <v>66</v>
      </c>
      <c r="K39" t="s">
        <v>51</v>
      </c>
      <c r="L39" t="s">
        <v>41</v>
      </c>
      <c r="M39">
        <v>0</v>
      </c>
      <c r="N39" t="s">
        <v>35</v>
      </c>
      <c r="O39" t="s">
        <v>202</v>
      </c>
    </row>
    <row r="40" spans="1:15" x14ac:dyDescent="0.3">
      <c r="A40" t="s">
        <v>203</v>
      </c>
      <c r="B40" t="s">
        <v>28</v>
      </c>
      <c r="C40" t="s">
        <v>17</v>
      </c>
      <c r="D40" t="s">
        <v>29</v>
      </c>
      <c r="E40" t="s">
        <v>19</v>
      </c>
      <c r="F40" t="s">
        <v>39</v>
      </c>
      <c r="G40" t="s">
        <v>204</v>
      </c>
      <c r="H40">
        <v>8.1</v>
      </c>
      <c r="I40">
        <v>3</v>
      </c>
      <c r="J40" t="s">
        <v>66</v>
      </c>
      <c r="K40" t="s">
        <v>23</v>
      </c>
      <c r="L40" t="s">
        <v>24</v>
      </c>
      <c r="M40">
        <v>0</v>
      </c>
      <c r="N40" t="s">
        <v>35</v>
      </c>
      <c r="O40" t="s">
        <v>90</v>
      </c>
    </row>
    <row r="41" spans="1:15" x14ac:dyDescent="0.3">
      <c r="A41" t="s">
        <v>205</v>
      </c>
      <c r="B41" t="s">
        <v>16</v>
      </c>
      <c r="C41" t="s">
        <v>150</v>
      </c>
      <c r="D41" t="s">
        <v>29</v>
      </c>
      <c r="E41" t="s">
        <v>38</v>
      </c>
      <c r="F41" t="s">
        <v>206</v>
      </c>
      <c r="G41" t="s">
        <v>207</v>
      </c>
      <c r="H41">
        <v>8</v>
      </c>
      <c r="I41">
        <v>3</v>
      </c>
      <c r="J41" t="s">
        <v>33</v>
      </c>
      <c r="K41" t="s">
        <v>51</v>
      </c>
      <c r="L41" t="s">
        <v>41</v>
      </c>
      <c r="M41">
        <v>3</v>
      </c>
      <c r="N41" t="s">
        <v>61</v>
      </c>
      <c r="O41" t="s">
        <v>208</v>
      </c>
    </row>
    <row r="42" spans="1:15" x14ac:dyDescent="0.3">
      <c r="A42" t="s">
        <v>209</v>
      </c>
      <c r="B42" t="s">
        <v>80</v>
      </c>
      <c r="C42" t="s">
        <v>210</v>
      </c>
      <c r="D42" t="s">
        <v>18</v>
      </c>
      <c r="E42" t="s">
        <v>19</v>
      </c>
      <c r="F42" t="s">
        <v>211</v>
      </c>
      <c r="G42" t="s">
        <v>212</v>
      </c>
      <c r="H42">
        <v>5.6</v>
      </c>
      <c r="I42">
        <v>0</v>
      </c>
      <c r="J42" t="s">
        <v>33</v>
      </c>
      <c r="K42" t="s">
        <v>51</v>
      </c>
      <c r="L42" t="s">
        <v>24</v>
      </c>
      <c r="M42">
        <v>1</v>
      </c>
      <c r="O42" t="s">
        <v>213</v>
      </c>
    </row>
    <row r="43" spans="1:15" x14ac:dyDescent="0.3">
      <c r="A43" t="s">
        <v>214</v>
      </c>
      <c r="B43" t="s">
        <v>16</v>
      </c>
      <c r="C43" t="s">
        <v>210</v>
      </c>
      <c r="D43" t="s">
        <v>29</v>
      </c>
      <c r="E43" t="s">
        <v>146</v>
      </c>
      <c r="F43" t="s">
        <v>120</v>
      </c>
      <c r="G43" t="s">
        <v>215</v>
      </c>
      <c r="H43">
        <v>5.6</v>
      </c>
      <c r="I43">
        <v>3</v>
      </c>
      <c r="J43" t="s">
        <v>22</v>
      </c>
      <c r="K43" t="s">
        <v>23</v>
      </c>
      <c r="L43" t="s">
        <v>77</v>
      </c>
      <c r="M43">
        <v>0</v>
      </c>
      <c r="N43" t="s">
        <v>25</v>
      </c>
      <c r="O43" t="s">
        <v>216</v>
      </c>
    </row>
    <row r="44" spans="1:15" x14ac:dyDescent="0.3">
      <c r="A44" t="s">
        <v>217</v>
      </c>
      <c r="B44" t="s">
        <v>16</v>
      </c>
      <c r="C44" t="s">
        <v>17</v>
      </c>
      <c r="D44" t="s">
        <v>18</v>
      </c>
      <c r="E44" t="s">
        <v>146</v>
      </c>
      <c r="F44" t="s">
        <v>173</v>
      </c>
      <c r="G44" t="s">
        <v>218</v>
      </c>
      <c r="I44">
        <v>1</v>
      </c>
      <c r="J44" t="s">
        <v>22</v>
      </c>
      <c r="K44" t="s">
        <v>23</v>
      </c>
      <c r="L44" t="s">
        <v>41</v>
      </c>
      <c r="M44">
        <v>60</v>
      </c>
      <c r="N44" t="s">
        <v>35</v>
      </c>
      <c r="O44" t="s">
        <v>219</v>
      </c>
    </row>
    <row r="45" spans="1:15" x14ac:dyDescent="0.3">
      <c r="A45" t="s">
        <v>220</v>
      </c>
      <c r="B45" t="s">
        <v>16</v>
      </c>
      <c r="C45" t="s">
        <v>43</v>
      </c>
      <c r="D45" t="s">
        <v>29</v>
      </c>
      <c r="E45" t="s">
        <v>146</v>
      </c>
      <c r="F45" t="s">
        <v>221</v>
      </c>
      <c r="G45" t="s">
        <v>222</v>
      </c>
      <c r="H45">
        <v>6.1</v>
      </c>
      <c r="I45">
        <v>2</v>
      </c>
      <c r="J45" t="s">
        <v>22</v>
      </c>
      <c r="K45" t="s">
        <v>23</v>
      </c>
      <c r="L45" t="s">
        <v>41</v>
      </c>
      <c r="M45">
        <v>1</v>
      </c>
      <c r="N45" t="s">
        <v>35</v>
      </c>
      <c r="O45" t="s">
        <v>223</v>
      </c>
    </row>
    <row r="46" spans="1:15" x14ac:dyDescent="0.3">
      <c r="A46" t="s">
        <v>224</v>
      </c>
      <c r="B46" t="s">
        <v>80</v>
      </c>
      <c r="C46" t="s">
        <v>43</v>
      </c>
      <c r="D46" t="s">
        <v>18</v>
      </c>
      <c r="E46" t="s">
        <v>187</v>
      </c>
      <c r="F46" t="s">
        <v>225</v>
      </c>
      <c r="G46" t="s">
        <v>226</v>
      </c>
      <c r="H46">
        <v>8.5</v>
      </c>
      <c r="I46">
        <v>1</v>
      </c>
      <c r="J46" t="s">
        <v>89</v>
      </c>
      <c r="K46" t="s">
        <v>23</v>
      </c>
      <c r="L46" t="s">
        <v>77</v>
      </c>
      <c r="M46">
        <v>-2</v>
      </c>
      <c r="N46" t="s">
        <v>83</v>
      </c>
      <c r="O46" t="s">
        <v>227</v>
      </c>
    </row>
    <row r="47" spans="1:15" x14ac:dyDescent="0.3">
      <c r="A47" t="s">
        <v>228</v>
      </c>
      <c r="B47" t="s">
        <v>16</v>
      </c>
      <c r="C47" t="s">
        <v>43</v>
      </c>
      <c r="D47" t="s">
        <v>29</v>
      </c>
      <c r="E47" t="s">
        <v>187</v>
      </c>
      <c r="F47" t="s">
        <v>229</v>
      </c>
      <c r="G47" t="s">
        <v>230</v>
      </c>
      <c r="H47">
        <v>6.5</v>
      </c>
      <c r="I47">
        <v>2</v>
      </c>
      <c r="J47" t="s">
        <v>33</v>
      </c>
      <c r="K47" t="s">
        <v>23</v>
      </c>
      <c r="L47" t="s">
        <v>41</v>
      </c>
      <c r="M47">
        <v>0</v>
      </c>
      <c r="N47" t="s">
        <v>61</v>
      </c>
      <c r="O47" t="s">
        <v>231</v>
      </c>
    </row>
    <row r="48" spans="1:15" x14ac:dyDescent="0.3">
      <c r="A48" t="s">
        <v>232</v>
      </c>
      <c r="B48" t="s">
        <v>86</v>
      </c>
      <c r="C48" t="s">
        <v>17</v>
      </c>
      <c r="D48" t="s">
        <v>29</v>
      </c>
      <c r="E48" t="s">
        <v>19</v>
      </c>
      <c r="F48" t="s">
        <v>233</v>
      </c>
      <c r="G48" t="s">
        <v>113</v>
      </c>
      <c r="H48">
        <v>7.1</v>
      </c>
      <c r="I48">
        <v>3</v>
      </c>
      <c r="J48" t="s">
        <v>66</v>
      </c>
      <c r="K48" t="s">
        <v>23</v>
      </c>
      <c r="L48" t="s">
        <v>34</v>
      </c>
      <c r="M48">
        <v>0</v>
      </c>
      <c r="N48" t="s">
        <v>25</v>
      </c>
      <c r="O48" t="s">
        <v>234</v>
      </c>
    </row>
    <row r="49" spans="1:15" x14ac:dyDescent="0.3">
      <c r="A49" t="s">
        <v>235</v>
      </c>
      <c r="B49" t="s">
        <v>80</v>
      </c>
      <c r="C49" t="s">
        <v>17</v>
      </c>
      <c r="D49" t="s">
        <v>29</v>
      </c>
      <c r="E49" t="s">
        <v>56</v>
      </c>
      <c r="F49" t="s">
        <v>236</v>
      </c>
      <c r="G49" t="s">
        <v>237</v>
      </c>
      <c r="H49">
        <v>5.6</v>
      </c>
      <c r="I49">
        <v>3</v>
      </c>
      <c r="J49" t="s">
        <v>59</v>
      </c>
      <c r="K49" t="s">
        <v>23</v>
      </c>
      <c r="L49" t="s">
        <v>34</v>
      </c>
      <c r="M49">
        <v>0</v>
      </c>
      <c r="N49" t="s">
        <v>238</v>
      </c>
      <c r="O49" t="s">
        <v>239</v>
      </c>
    </row>
    <row r="50" spans="1:15" x14ac:dyDescent="0.3">
      <c r="A50" t="s">
        <v>240</v>
      </c>
      <c r="B50" t="s">
        <v>16</v>
      </c>
      <c r="C50" t="s">
        <v>210</v>
      </c>
      <c r="D50" t="s">
        <v>29</v>
      </c>
      <c r="E50" t="s">
        <v>69</v>
      </c>
      <c r="F50" t="s">
        <v>241</v>
      </c>
      <c r="G50" t="s">
        <v>242</v>
      </c>
      <c r="H50">
        <v>8.1</v>
      </c>
      <c r="I50">
        <v>5</v>
      </c>
      <c r="J50" t="s">
        <v>59</v>
      </c>
      <c r="K50" t="s">
        <v>23</v>
      </c>
      <c r="L50" t="s">
        <v>41</v>
      </c>
      <c r="M50">
        <v>0</v>
      </c>
      <c r="N50" t="s">
        <v>35</v>
      </c>
      <c r="O50" t="s">
        <v>243</v>
      </c>
    </row>
    <row r="51" spans="1:15" x14ac:dyDescent="0.3">
      <c r="A51" t="s">
        <v>244</v>
      </c>
      <c r="B51" t="s">
        <v>28</v>
      </c>
      <c r="C51" t="s">
        <v>17</v>
      </c>
      <c r="D51" t="s">
        <v>18</v>
      </c>
      <c r="E51" t="s">
        <v>56</v>
      </c>
      <c r="F51" t="s">
        <v>245</v>
      </c>
      <c r="G51" t="s">
        <v>241</v>
      </c>
      <c r="H51">
        <v>7.1</v>
      </c>
      <c r="I51">
        <v>6</v>
      </c>
      <c r="J51" t="s">
        <v>33</v>
      </c>
      <c r="K51" t="s">
        <v>23</v>
      </c>
      <c r="L51" t="s">
        <v>60</v>
      </c>
      <c r="M51">
        <v>1</v>
      </c>
      <c r="N51" t="s">
        <v>35</v>
      </c>
      <c r="O51" t="s">
        <v>246</v>
      </c>
    </row>
    <row r="52" spans="1:15" x14ac:dyDescent="0.3">
      <c r="A52" t="s">
        <v>247</v>
      </c>
      <c r="B52" t="s">
        <v>16</v>
      </c>
      <c r="C52" t="s">
        <v>55</v>
      </c>
      <c r="D52" t="s">
        <v>18</v>
      </c>
      <c r="E52" t="s">
        <v>38</v>
      </c>
      <c r="F52" t="s">
        <v>248</v>
      </c>
      <c r="G52" t="s">
        <v>249</v>
      </c>
      <c r="H52">
        <v>6.6</v>
      </c>
      <c r="I52">
        <v>3</v>
      </c>
      <c r="J52" t="s">
        <v>33</v>
      </c>
      <c r="K52" t="s">
        <v>250</v>
      </c>
      <c r="L52" t="s">
        <v>34</v>
      </c>
      <c r="M52">
        <v>0</v>
      </c>
      <c r="N52" t="s">
        <v>83</v>
      </c>
      <c r="O52" t="s">
        <v>251</v>
      </c>
    </row>
    <row r="53" spans="1:15" x14ac:dyDescent="0.3">
      <c r="A53" t="s">
        <v>252</v>
      </c>
      <c r="B53" t="s">
        <v>16</v>
      </c>
      <c r="C53" t="s">
        <v>210</v>
      </c>
      <c r="D53" t="s">
        <v>29</v>
      </c>
      <c r="E53" t="s">
        <v>187</v>
      </c>
      <c r="F53" t="s">
        <v>253</v>
      </c>
      <c r="G53" t="s">
        <v>254</v>
      </c>
      <c r="H53">
        <v>4.9000000000000004</v>
      </c>
      <c r="I53">
        <v>1</v>
      </c>
      <c r="J53" t="s">
        <v>59</v>
      </c>
      <c r="K53" t="s">
        <v>23</v>
      </c>
      <c r="L53" t="s">
        <v>34</v>
      </c>
      <c r="M53">
        <v>2</v>
      </c>
      <c r="N53" t="s">
        <v>61</v>
      </c>
      <c r="O53" t="s">
        <v>255</v>
      </c>
    </row>
    <row r="54" spans="1:15" x14ac:dyDescent="0.3">
      <c r="A54" t="s">
        <v>256</v>
      </c>
      <c r="B54" t="s">
        <v>80</v>
      </c>
      <c r="C54" t="s">
        <v>43</v>
      </c>
      <c r="D54" t="s">
        <v>29</v>
      </c>
      <c r="E54" t="s">
        <v>69</v>
      </c>
      <c r="F54" t="s">
        <v>257</v>
      </c>
      <c r="G54" t="s">
        <v>258</v>
      </c>
      <c r="H54">
        <v>5.4</v>
      </c>
      <c r="I54">
        <v>4</v>
      </c>
      <c r="J54" t="s">
        <v>33</v>
      </c>
      <c r="K54" t="s">
        <v>23</v>
      </c>
      <c r="L54" t="s">
        <v>41</v>
      </c>
      <c r="M54">
        <v>0</v>
      </c>
      <c r="N54" t="s">
        <v>52</v>
      </c>
      <c r="O54" t="s">
        <v>259</v>
      </c>
    </row>
    <row r="55" spans="1:15" x14ac:dyDescent="0.3">
      <c r="A55" t="s">
        <v>260</v>
      </c>
      <c r="B55" t="s">
        <v>48</v>
      </c>
      <c r="C55" t="s">
        <v>210</v>
      </c>
      <c r="D55" t="s">
        <v>18</v>
      </c>
      <c r="E55" t="s">
        <v>38</v>
      </c>
      <c r="F55" t="s">
        <v>261</v>
      </c>
      <c r="G55" t="s">
        <v>262</v>
      </c>
      <c r="H55">
        <v>6.1</v>
      </c>
      <c r="I55">
        <v>7</v>
      </c>
      <c r="J55" t="s">
        <v>33</v>
      </c>
      <c r="K55" t="s">
        <v>23</v>
      </c>
      <c r="L55" t="s">
        <v>34</v>
      </c>
      <c r="M55">
        <v>2</v>
      </c>
      <c r="N55" t="s">
        <v>25</v>
      </c>
      <c r="O55" t="s">
        <v>263</v>
      </c>
    </row>
    <row r="56" spans="1:15" x14ac:dyDescent="0.3">
      <c r="A56" t="s">
        <v>264</v>
      </c>
      <c r="B56" t="s">
        <v>48</v>
      </c>
      <c r="C56" t="s">
        <v>43</v>
      </c>
      <c r="D56" t="s">
        <v>29</v>
      </c>
      <c r="E56" t="s">
        <v>146</v>
      </c>
      <c r="F56" t="s">
        <v>265</v>
      </c>
      <c r="G56" t="s">
        <v>266</v>
      </c>
      <c r="H56">
        <v>8.9</v>
      </c>
      <c r="I56">
        <v>5</v>
      </c>
      <c r="J56" t="s">
        <v>22</v>
      </c>
      <c r="K56" t="s">
        <v>23</v>
      </c>
      <c r="L56" t="s">
        <v>41</v>
      </c>
      <c r="M56">
        <v>0</v>
      </c>
      <c r="N56" t="s">
        <v>35</v>
      </c>
      <c r="O56" t="s">
        <v>191</v>
      </c>
    </row>
    <row r="57" spans="1:15" x14ac:dyDescent="0.3">
      <c r="A57" t="s">
        <v>267</v>
      </c>
      <c r="B57" t="s">
        <v>48</v>
      </c>
      <c r="C57" t="s">
        <v>17</v>
      </c>
      <c r="D57" t="s">
        <v>29</v>
      </c>
      <c r="E57" t="s">
        <v>74</v>
      </c>
      <c r="F57" t="s">
        <v>133</v>
      </c>
      <c r="G57" t="s">
        <v>268</v>
      </c>
      <c r="H57">
        <v>4.9000000000000004</v>
      </c>
      <c r="I57">
        <v>3</v>
      </c>
      <c r="J57" t="s">
        <v>33</v>
      </c>
      <c r="K57" t="s">
        <v>23</v>
      </c>
      <c r="L57" t="s">
        <v>77</v>
      </c>
      <c r="M57">
        <v>0</v>
      </c>
      <c r="N57" t="s">
        <v>61</v>
      </c>
      <c r="O57" t="s">
        <v>269</v>
      </c>
    </row>
    <row r="58" spans="1:15" x14ac:dyDescent="0.3">
      <c r="A58" t="s">
        <v>270</v>
      </c>
      <c r="B58" t="s">
        <v>48</v>
      </c>
      <c r="C58" t="s">
        <v>150</v>
      </c>
      <c r="D58" t="s">
        <v>29</v>
      </c>
      <c r="E58" t="s">
        <v>69</v>
      </c>
      <c r="F58" t="s">
        <v>50</v>
      </c>
      <c r="G58" t="s">
        <v>271</v>
      </c>
      <c r="H58">
        <v>6.4</v>
      </c>
      <c r="I58">
        <v>5</v>
      </c>
      <c r="J58" t="s">
        <v>33</v>
      </c>
      <c r="K58" t="s">
        <v>23</v>
      </c>
      <c r="L58" t="s">
        <v>34</v>
      </c>
      <c r="M58">
        <v>2</v>
      </c>
      <c r="N58" t="s">
        <v>35</v>
      </c>
      <c r="O58" t="s">
        <v>272</v>
      </c>
    </row>
    <row r="59" spans="1:15" x14ac:dyDescent="0.3">
      <c r="A59" t="s">
        <v>273</v>
      </c>
      <c r="B59" t="s">
        <v>86</v>
      </c>
      <c r="C59" t="s">
        <v>55</v>
      </c>
      <c r="D59" t="s">
        <v>29</v>
      </c>
      <c r="E59" t="s">
        <v>146</v>
      </c>
      <c r="F59" t="s">
        <v>274</v>
      </c>
      <c r="G59" t="s">
        <v>275</v>
      </c>
      <c r="H59">
        <v>5.9</v>
      </c>
      <c r="I59">
        <v>2</v>
      </c>
      <c r="J59" t="s">
        <v>22</v>
      </c>
      <c r="K59" t="s">
        <v>23</v>
      </c>
      <c r="L59" t="s">
        <v>34</v>
      </c>
      <c r="M59">
        <v>3</v>
      </c>
      <c r="N59" t="s">
        <v>35</v>
      </c>
      <c r="O59" t="s">
        <v>111</v>
      </c>
    </row>
    <row r="60" spans="1:15" x14ac:dyDescent="0.3">
      <c r="A60" t="s">
        <v>276</v>
      </c>
      <c r="B60" t="s">
        <v>86</v>
      </c>
      <c r="C60" t="s">
        <v>55</v>
      </c>
      <c r="D60" t="s">
        <v>29</v>
      </c>
      <c r="E60" t="s">
        <v>69</v>
      </c>
      <c r="F60" t="s">
        <v>45</v>
      </c>
      <c r="G60" t="s">
        <v>45</v>
      </c>
      <c r="H60">
        <v>7</v>
      </c>
      <c r="I60">
        <v>2</v>
      </c>
      <c r="J60" t="s">
        <v>33</v>
      </c>
      <c r="K60" t="s">
        <v>51</v>
      </c>
      <c r="L60" t="s">
        <v>41</v>
      </c>
      <c r="M60">
        <v>1</v>
      </c>
      <c r="N60" t="s">
        <v>35</v>
      </c>
      <c r="O60" t="s">
        <v>277</v>
      </c>
    </row>
    <row r="61" spans="1:15" x14ac:dyDescent="0.3">
      <c r="A61" t="s">
        <v>278</v>
      </c>
      <c r="B61" t="s">
        <v>16</v>
      </c>
      <c r="C61" t="s">
        <v>150</v>
      </c>
      <c r="D61" t="s">
        <v>18</v>
      </c>
      <c r="E61" t="s">
        <v>38</v>
      </c>
      <c r="F61" t="s">
        <v>265</v>
      </c>
      <c r="G61" t="s">
        <v>279</v>
      </c>
      <c r="H61">
        <v>6.6</v>
      </c>
      <c r="I61">
        <v>3</v>
      </c>
      <c r="J61" t="s">
        <v>22</v>
      </c>
      <c r="K61" t="s">
        <v>23</v>
      </c>
      <c r="L61" t="s">
        <v>24</v>
      </c>
      <c r="M61">
        <v>1</v>
      </c>
      <c r="N61" t="s">
        <v>83</v>
      </c>
      <c r="O61" t="s">
        <v>111</v>
      </c>
    </row>
    <row r="62" spans="1:15" x14ac:dyDescent="0.3">
      <c r="A62" t="s">
        <v>280</v>
      </c>
      <c r="B62" t="s">
        <v>16</v>
      </c>
      <c r="C62" t="s">
        <v>210</v>
      </c>
      <c r="D62" t="s">
        <v>18</v>
      </c>
      <c r="E62" t="s">
        <v>69</v>
      </c>
      <c r="F62" t="s">
        <v>160</v>
      </c>
      <c r="G62" t="s">
        <v>281</v>
      </c>
      <c r="H62">
        <v>8.5</v>
      </c>
      <c r="I62">
        <v>8</v>
      </c>
      <c r="J62" t="s">
        <v>22</v>
      </c>
      <c r="K62" t="s">
        <v>23</v>
      </c>
      <c r="L62" t="s">
        <v>77</v>
      </c>
      <c r="M62">
        <v>0</v>
      </c>
      <c r="N62" t="s">
        <v>52</v>
      </c>
      <c r="O62" t="s">
        <v>282</v>
      </c>
    </row>
    <row r="63" spans="1:15" x14ac:dyDescent="0.3">
      <c r="A63" t="s">
        <v>283</v>
      </c>
      <c r="B63" t="s">
        <v>86</v>
      </c>
      <c r="C63" t="s">
        <v>284</v>
      </c>
      <c r="D63" t="s">
        <v>18</v>
      </c>
      <c r="E63" t="s">
        <v>30</v>
      </c>
      <c r="F63" t="s">
        <v>285</v>
      </c>
      <c r="G63" t="s">
        <v>286</v>
      </c>
      <c r="H63">
        <v>6.6</v>
      </c>
      <c r="I63">
        <v>4</v>
      </c>
      <c r="J63" t="s">
        <v>33</v>
      </c>
      <c r="K63" t="s">
        <v>23</v>
      </c>
      <c r="L63" t="s">
        <v>41</v>
      </c>
      <c r="M63">
        <v>0</v>
      </c>
      <c r="N63" t="s">
        <v>157</v>
      </c>
      <c r="O63" t="s">
        <v>287</v>
      </c>
    </row>
    <row r="64" spans="1:15" x14ac:dyDescent="0.3">
      <c r="A64" t="s">
        <v>288</v>
      </c>
      <c r="B64" t="s">
        <v>28</v>
      </c>
      <c r="C64" t="s">
        <v>43</v>
      </c>
      <c r="D64" t="s">
        <v>29</v>
      </c>
      <c r="E64" t="s">
        <v>38</v>
      </c>
      <c r="F64" t="s">
        <v>253</v>
      </c>
      <c r="G64" t="s">
        <v>289</v>
      </c>
      <c r="H64">
        <v>7.6</v>
      </c>
      <c r="I64">
        <v>7</v>
      </c>
      <c r="J64" t="s">
        <v>33</v>
      </c>
      <c r="K64" t="s">
        <v>23</v>
      </c>
      <c r="L64" t="s">
        <v>41</v>
      </c>
      <c r="M64">
        <v>1</v>
      </c>
      <c r="O64" t="s">
        <v>290</v>
      </c>
    </row>
    <row r="65" spans="1:15" x14ac:dyDescent="0.3">
      <c r="A65" t="s">
        <v>291</v>
      </c>
      <c r="B65" t="s">
        <v>48</v>
      </c>
      <c r="C65" t="s">
        <v>17</v>
      </c>
      <c r="D65" t="s">
        <v>29</v>
      </c>
      <c r="E65" t="s">
        <v>69</v>
      </c>
      <c r="F65" t="s">
        <v>266</v>
      </c>
      <c r="G65" t="s">
        <v>125</v>
      </c>
      <c r="H65">
        <v>6.5</v>
      </c>
      <c r="I65">
        <v>2</v>
      </c>
      <c r="J65" t="s">
        <v>33</v>
      </c>
      <c r="K65" t="s">
        <v>23</v>
      </c>
      <c r="L65" t="s">
        <v>24</v>
      </c>
      <c r="M65">
        <v>0</v>
      </c>
      <c r="O65" t="s">
        <v>292</v>
      </c>
    </row>
    <row r="66" spans="1:15" x14ac:dyDescent="0.3">
      <c r="A66" t="s">
        <v>293</v>
      </c>
      <c r="B66" t="s">
        <v>48</v>
      </c>
      <c r="C66" t="s">
        <v>17</v>
      </c>
      <c r="D66" t="s">
        <v>18</v>
      </c>
      <c r="E66" t="s">
        <v>69</v>
      </c>
      <c r="G66" t="s">
        <v>294</v>
      </c>
      <c r="H66">
        <v>7.6</v>
      </c>
      <c r="I66">
        <v>3</v>
      </c>
      <c r="J66" t="s">
        <v>33</v>
      </c>
      <c r="K66" t="s">
        <v>51</v>
      </c>
      <c r="L66" t="s">
        <v>34</v>
      </c>
      <c r="M66">
        <v>1</v>
      </c>
      <c r="N66" t="s">
        <v>35</v>
      </c>
      <c r="O66" t="s">
        <v>295</v>
      </c>
    </row>
    <row r="67" spans="1:15" x14ac:dyDescent="0.3">
      <c r="A67" t="s">
        <v>296</v>
      </c>
      <c r="B67" t="s">
        <v>48</v>
      </c>
      <c r="C67" t="s">
        <v>55</v>
      </c>
      <c r="D67" t="s">
        <v>29</v>
      </c>
      <c r="E67" t="s">
        <v>56</v>
      </c>
      <c r="F67" t="s">
        <v>253</v>
      </c>
      <c r="G67" t="s">
        <v>297</v>
      </c>
      <c r="H67">
        <v>8.3000000000000007</v>
      </c>
      <c r="I67">
        <v>5</v>
      </c>
      <c r="J67" t="s">
        <v>59</v>
      </c>
      <c r="K67" t="s">
        <v>23</v>
      </c>
      <c r="L67" t="s">
        <v>41</v>
      </c>
      <c r="M67">
        <v>2</v>
      </c>
      <c r="N67" t="s">
        <v>35</v>
      </c>
      <c r="O67" t="s">
        <v>298</v>
      </c>
    </row>
    <row r="68" spans="1:15" x14ac:dyDescent="0.3">
      <c r="A68" t="s">
        <v>299</v>
      </c>
      <c r="B68" t="s">
        <v>28</v>
      </c>
      <c r="C68" t="s">
        <v>210</v>
      </c>
      <c r="D68" t="s">
        <v>29</v>
      </c>
      <c r="E68" t="s">
        <v>146</v>
      </c>
      <c r="F68" t="s">
        <v>300</v>
      </c>
      <c r="G68" t="s">
        <v>301</v>
      </c>
      <c r="H68">
        <v>8.6</v>
      </c>
      <c r="I68">
        <v>2</v>
      </c>
      <c r="J68" t="s">
        <v>22</v>
      </c>
      <c r="K68" t="s">
        <v>23</v>
      </c>
      <c r="L68" t="s">
        <v>302</v>
      </c>
      <c r="M68">
        <v>0</v>
      </c>
      <c r="N68" t="s">
        <v>35</v>
      </c>
      <c r="O68" t="s">
        <v>303</v>
      </c>
    </row>
    <row r="69" spans="1:15" x14ac:dyDescent="0.3">
      <c r="A69" t="s">
        <v>304</v>
      </c>
      <c r="B69" t="s">
        <v>80</v>
      </c>
      <c r="C69" t="s">
        <v>43</v>
      </c>
      <c r="D69" t="s">
        <v>29</v>
      </c>
      <c r="E69" t="s">
        <v>30</v>
      </c>
      <c r="F69" t="s">
        <v>211</v>
      </c>
      <c r="G69" t="s">
        <v>189</v>
      </c>
      <c r="H69">
        <v>6</v>
      </c>
      <c r="I69">
        <v>1</v>
      </c>
      <c r="J69" t="s">
        <v>33</v>
      </c>
      <c r="K69" t="s">
        <v>23</v>
      </c>
      <c r="L69" t="s">
        <v>24</v>
      </c>
      <c r="M69">
        <v>1</v>
      </c>
      <c r="O69" t="s">
        <v>219</v>
      </c>
    </row>
    <row r="70" spans="1:15" x14ac:dyDescent="0.3">
      <c r="A70" t="s">
        <v>305</v>
      </c>
      <c r="B70" t="s">
        <v>86</v>
      </c>
      <c r="C70" t="s">
        <v>43</v>
      </c>
      <c r="D70" t="s">
        <v>18</v>
      </c>
      <c r="E70" t="s">
        <v>93</v>
      </c>
      <c r="F70" t="s">
        <v>306</v>
      </c>
      <c r="G70" t="s">
        <v>307</v>
      </c>
      <c r="H70">
        <v>6.1</v>
      </c>
      <c r="I70">
        <v>8</v>
      </c>
      <c r="J70" t="s">
        <v>59</v>
      </c>
      <c r="K70" t="s">
        <v>23</v>
      </c>
      <c r="L70" t="s">
        <v>77</v>
      </c>
      <c r="M70">
        <v>0</v>
      </c>
      <c r="O70" t="s">
        <v>308</v>
      </c>
    </row>
    <row r="71" spans="1:15" x14ac:dyDescent="0.3">
      <c r="A71" t="s">
        <v>309</v>
      </c>
      <c r="B71" t="s">
        <v>80</v>
      </c>
      <c r="C71" t="s">
        <v>17</v>
      </c>
      <c r="D71" t="s">
        <v>18</v>
      </c>
      <c r="E71" t="s">
        <v>146</v>
      </c>
      <c r="F71" t="s">
        <v>310</v>
      </c>
      <c r="G71" t="s">
        <v>311</v>
      </c>
      <c r="H71">
        <v>8.8000000000000007</v>
      </c>
      <c r="I71">
        <v>2</v>
      </c>
      <c r="J71" t="s">
        <v>66</v>
      </c>
      <c r="K71" t="s">
        <v>23</v>
      </c>
      <c r="L71" t="s">
        <v>34</v>
      </c>
      <c r="M71">
        <v>0</v>
      </c>
      <c r="N71" t="s">
        <v>157</v>
      </c>
      <c r="O71" t="s">
        <v>312</v>
      </c>
    </row>
    <row r="72" spans="1:15" x14ac:dyDescent="0.3">
      <c r="A72" t="s">
        <v>313</v>
      </c>
      <c r="B72" t="s">
        <v>16</v>
      </c>
      <c r="C72" t="s">
        <v>17</v>
      </c>
      <c r="D72" t="s">
        <v>314</v>
      </c>
      <c r="E72" t="s">
        <v>69</v>
      </c>
      <c r="F72" t="s">
        <v>113</v>
      </c>
      <c r="G72" t="s">
        <v>315</v>
      </c>
      <c r="H72">
        <v>5.7</v>
      </c>
      <c r="I72">
        <v>2</v>
      </c>
      <c r="J72" t="s">
        <v>22</v>
      </c>
      <c r="K72" t="s">
        <v>23</v>
      </c>
      <c r="L72" t="s">
        <v>34</v>
      </c>
      <c r="M72">
        <v>0</v>
      </c>
      <c r="N72" t="s">
        <v>157</v>
      </c>
      <c r="O72" t="s">
        <v>316</v>
      </c>
    </row>
    <row r="73" spans="1:15" x14ac:dyDescent="0.3">
      <c r="A73" t="s">
        <v>317</v>
      </c>
      <c r="B73" t="s">
        <v>16</v>
      </c>
      <c r="C73" t="s">
        <v>318</v>
      </c>
      <c r="D73" t="s">
        <v>29</v>
      </c>
      <c r="E73" t="s">
        <v>146</v>
      </c>
      <c r="F73" t="s">
        <v>319</v>
      </c>
      <c r="G73" t="s">
        <v>320</v>
      </c>
      <c r="H73">
        <v>4.5999999999999996</v>
      </c>
      <c r="I73">
        <v>1</v>
      </c>
      <c r="J73" t="s">
        <v>33</v>
      </c>
      <c r="K73" t="s">
        <v>23</v>
      </c>
      <c r="L73" t="s">
        <v>60</v>
      </c>
      <c r="M73">
        <v>0</v>
      </c>
      <c r="N73" t="s">
        <v>52</v>
      </c>
      <c r="O73" t="s">
        <v>321</v>
      </c>
    </row>
    <row r="74" spans="1:15" x14ac:dyDescent="0.3">
      <c r="A74" t="s">
        <v>322</v>
      </c>
      <c r="B74" t="s">
        <v>16</v>
      </c>
      <c r="C74" t="s">
        <v>150</v>
      </c>
      <c r="D74" t="s">
        <v>18</v>
      </c>
      <c r="E74" t="s">
        <v>19</v>
      </c>
      <c r="F74" t="s">
        <v>133</v>
      </c>
      <c r="G74" t="s">
        <v>323</v>
      </c>
      <c r="H74">
        <v>8.9</v>
      </c>
      <c r="I74">
        <v>4</v>
      </c>
      <c r="J74" t="s">
        <v>22</v>
      </c>
      <c r="K74" t="s">
        <v>23</v>
      </c>
      <c r="L74" t="s">
        <v>60</v>
      </c>
      <c r="M74">
        <v>1</v>
      </c>
      <c r="O74" t="s">
        <v>324</v>
      </c>
    </row>
    <row r="75" spans="1:15" x14ac:dyDescent="0.3">
      <c r="A75" t="s">
        <v>325</v>
      </c>
      <c r="B75" t="s">
        <v>16</v>
      </c>
      <c r="C75" t="s">
        <v>210</v>
      </c>
      <c r="D75" t="s">
        <v>29</v>
      </c>
      <c r="E75" t="s">
        <v>19</v>
      </c>
      <c r="F75" t="s">
        <v>64</v>
      </c>
      <c r="G75" t="s">
        <v>326</v>
      </c>
      <c r="H75">
        <v>8.1999999999999993</v>
      </c>
      <c r="I75">
        <v>5</v>
      </c>
      <c r="J75" t="s">
        <v>59</v>
      </c>
      <c r="K75" t="s">
        <v>327</v>
      </c>
      <c r="L75" t="s">
        <v>41</v>
      </c>
      <c r="M75">
        <v>0</v>
      </c>
      <c r="N75" t="s">
        <v>35</v>
      </c>
      <c r="O75" t="s">
        <v>208</v>
      </c>
    </row>
    <row r="76" spans="1:15" x14ac:dyDescent="0.3">
      <c r="A76" t="s">
        <v>328</v>
      </c>
      <c r="B76" t="s">
        <v>86</v>
      </c>
      <c r="C76" t="s">
        <v>17</v>
      </c>
      <c r="D76" t="s">
        <v>18</v>
      </c>
      <c r="E76" t="s">
        <v>19</v>
      </c>
      <c r="F76" t="s">
        <v>329</v>
      </c>
      <c r="G76" t="s">
        <v>330</v>
      </c>
      <c r="H76">
        <v>9.1</v>
      </c>
      <c r="I76">
        <v>2</v>
      </c>
      <c r="J76" t="s">
        <v>66</v>
      </c>
      <c r="K76" t="s">
        <v>51</v>
      </c>
      <c r="L76" t="s">
        <v>34</v>
      </c>
      <c r="M76">
        <v>0</v>
      </c>
      <c r="N76" t="s">
        <v>83</v>
      </c>
      <c r="O76" t="s">
        <v>331</v>
      </c>
    </row>
    <row r="77" spans="1:15" x14ac:dyDescent="0.3">
      <c r="A77" t="s">
        <v>332</v>
      </c>
      <c r="B77" t="s">
        <v>48</v>
      </c>
      <c r="C77" t="s">
        <v>55</v>
      </c>
      <c r="D77" t="s">
        <v>29</v>
      </c>
      <c r="E77" t="s">
        <v>74</v>
      </c>
      <c r="F77" t="s">
        <v>300</v>
      </c>
      <c r="G77" t="s">
        <v>333</v>
      </c>
      <c r="H77">
        <v>6.8</v>
      </c>
      <c r="I77">
        <v>1</v>
      </c>
      <c r="J77" t="s">
        <v>59</v>
      </c>
      <c r="K77" t="s">
        <v>23</v>
      </c>
      <c r="L77" t="s">
        <v>77</v>
      </c>
      <c r="M77">
        <v>0</v>
      </c>
      <c r="N77" t="s">
        <v>35</v>
      </c>
      <c r="O77" t="s">
        <v>334</v>
      </c>
    </row>
    <row r="78" spans="1:15" x14ac:dyDescent="0.3">
      <c r="A78" t="s">
        <v>335</v>
      </c>
      <c r="B78" t="s">
        <v>16</v>
      </c>
      <c r="C78" t="s">
        <v>17</v>
      </c>
      <c r="D78" t="s">
        <v>18</v>
      </c>
      <c r="E78" t="s">
        <v>19</v>
      </c>
      <c r="F78" t="s">
        <v>336</v>
      </c>
      <c r="G78" t="s">
        <v>337</v>
      </c>
      <c r="H78">
        <v>5.9</v>
      </c>
      <c r="I78">
        <v>4</v>
      </c>
      <c r="J78" t="s">
        <v>66</v>
      </c>
      <c r="K78" t="s">
        <v>23</v>
      </c>
      <c r="L78" t="s">
        <v>60</v>
      </c>
      <c r="M78">
        <v>0</v>
      </c>
      <c r="N78" t="s">
        <v>83</v>
      </c>
      <c r="O78" t="s">
        <v>338</v>
      </c>
    </row>
    <row r="79" spans="1:15" x14ac:dyDescent="0.3">
      <c r="A79" t="s">
        <v>339</v>
      </c>
      <c r="B79" t="s">
        <v>48</v>
      </c>
      <c r="C79" t="s">
        <v>43</v>
      </c>
      <c r="D79" t="s">
        <v>18</v>
      </c>
      <c r="E79" t="s">
        <v>19</v>
      </c>
      <c r="F79" t="s">
        <v>340</v>
      </c>
      <c r="G79" t="s">
        <v>341</v>
      </c>
      <c r="H79">
        <v>9.3000000000000007</v>
      </c>
      <c r="I79">
        <v>2</v>
      </c>
      <c r="J79" t="s">
        <v>33</v>
      </c>
      <c r="K79" t="s">
        <v>51</v>
      </c>
      <c r="L79" t="s">
        <v>41</v>
      </c>
      <c r="M79">
        <v>1</v>
      </c>
      <c r="N79" t="s">
        <v>83</v>
      </c>
      <c r="O79" t="s">
        <v>179</v>
      </c>
    </row>
    <row r="80" spans="1:15" x14ac:dyDescent="0.3">
      <c r="A80" t="s">
        <v>342</v>
      </c>
      <c r="B80" t="s">
        <v>92</v>
      </c>
      <c r="C80" t="s">
        <v>55</v>
      </c>
      <c r="D80" t="s">
        <v>29</v>
      </c>
      <c r="E80" t="s">
        <v>69</v>
      </c>
      <c r="F80" t="s">
        <v>343</v>
      </c>
      <c r="G80" t="s">
        <v>117</v>
      </c>
      <c r="H80">
        <v>6</v>
      </c>
      <c r="I80">
        <v>3</v>
      </c>
      <c r="J80" t="s">
        <v>22</v>
      </c>
      <c r="K80" t="s">
        <v>51</v>
      </c>
      <c r="L80" t="s">
        <v>41</v>
      </c>
      <c r="M80">
        <v>0</v>
      </c>
      <c r="N80" t="s">
        <v>35</v>
      </c>
      <c r="O80" t="s">
        <v>231</v>
      </c>
    </row>
    <row r="81" spans="1:15" x14ac:dyDescent="0.3">
      <c r="A81" t="s">
        <v>344</v>
      </c>
      <c r="B81" t="s">
        <v>80</v>
      </c>
      <c r="C81" t="s">
        <v>150</v>
      </c>
      <c r="D81" t="s">
        <v>18</v>
      </c>
      <c r="E81" t="s">
        <v>74</v>
      </c>
      <c r="F81" t="s">
        <v>245</v>
      </c>
      <c r="G81" t="s">
        <v>242</v>
      </c>
      <c r="H81">
        <v>7.9</v>
      </c>
      <c r="I81">
        <v>4</v>
      </c>
      <c r="J81" t="s">
        <v>33</v>
      </c>
      <c r="K81" t="s">
        <v>23</v>
      </c>
      <c r="L81" t="s">
        <v>24</v>
      </c>
      <c r="M81">
        <v>0</v>
      </c>
      <c r="N81" t="s">
        <v>61</v>
      </c>
      <c r="O81" t="s">
        <v>164</v>
      </c>
    </row>
    <row r="82" spans="1:15" x14ac:dyDescent="0.3">
      <c r="A82" t="s">
        <v>345</v>
      </c>
      <c r="B82" t="s">
        <v>48</v>
      </c>
      <c r="C82" t="s">
        <v>210</v>
      </c>
      <c r="D82" t="s">
        <v>346</v>
      </c>
      <c r="E82" t="s">
        <v>69</v>
      </c>
      <c r="F82" t="s">
        <v>266</v>
      </c>
      <c r="G82" t="s">
        <v>347</v>
      </c>
      <c r="H82">
        <v>6.6</v>
      </c>
      <c r="I82">
        <v>2</v>
      </c>
      <c r="J82" t="s">
        <v>66</v>
      </c>
      <c r="K82" t="s">
        <v>23</v>
      </c>
      <c r="L82" t="s">
        <v>24</v>
      </c>
      <c r="M82">
        <v>3</v>
      </c>
      <c r="N82" t="s">
        <v>238</v>
      </c>
      <c r="O82" t="s">
        <v>348</v>
      </c>
    </row>
    <row r="83" spans="1:15" x14ac:dyDescent="0.3">
      <c r="A83" t="s">
        <v>349</v>
      </c>
      <c r="B83" t="s">
        <v>16</v>
      </c>
      <c r="C83" t="s">
        <v>17</v>
      </c>
      <c r="D83" t="s">
        <v>18</v>
      </c>
      <c r="E83" t="s">
        <v>38</v>
      </c>
      <c r="F83" t="s">
        <v>350</v>
      </c>
      <c r="G83" t="s">
        <v>351</v>
      </c>
      <c r="H83">
        <v>5.8</v>
      </c>
      <c r="I83">
        <v>3</v>
      </c>
      <c r="J83" t="s">
        <v>59</v>
      </c>
      <c r="K83" t="s">
        <v>51</v>
      </c>
      <c r="L83" t="s">
        <v>60</v>
      </c>
      <c r="M83">
        <v>0</v>
      </c>
      <c r="N83" t="s">
        <v>157</v>
      </c>
      <c r="O83" t="s">
        <v>352</v>
      </c>
    </row>
    <row r="84" spans="1:15" x14ac:dyDescent="0.3">
      <c r="A84" t="s">
        <v>353</v>
      </c>
      <c r="B84" t="s">
        <v>16</v>
      </c>
      <c r="C84" t="s">
        <v>210</v>
      </c>
      <c r="D84" t="s">
        <v>29</v>
      </c>
      <c r="E84" t="s">
        <v>56</v>
      </c>
      <c r="F84" t="s">
        <v>184</v>
      </c>
      <c r="G84" t="s">
        <v>354</v>
      </c>
      <c r="H84">
        <v>6.7</v>
      </c>
      <c r="I84">
        <v>6</v>
      </c>
      <c r="J84" t="s">
        <v>22</v>
      </c>
      <c r="K84" t="s">
        <v>23</v>
      </c>
      <c r="L84" t="s">
        <v>60</v>
      </c>
      <c r="M84">
        <v>0</v>
      </c>
      <c r="N84" t="s">
        <v>61</v>
      </c>
      <c r="O84" t="s">
        <v>355</v>
      </c>
    </row>
    <row r="85" spans="1:15" x14ac:dyDescent="0.3">
      <c r="A85" t="s">
        <v>356</v>
      </c>
      <c r="B85" t="s">
        <v>16</v>
      </c>
      <c r="C85" t="s">
        <v>17</v>
      </c>
      <c r="D85" t="s">
        <v>18</v>
      </c>
      <c r="E85" t="s">
        <v>93</v>
      </c>
      <c r="F85" t="s">
        <v>357</v>
      </c>
      <c r="G85" t="s">
        <v>148</v>
      </c>
      <c r="H85">
        <v>6.7</v>
      </c>
      <c r="I85">
        <v>3</v>
      </c>
      <c r="J85" t="s">
        <v>358</v>
      </c>
      <c r="K85" t="s">
        <v>23</v>
      </c>
      <c r="L85" t="s">
        <v>41</v>
      </c>
      <c r="M85">
        <v>2</v>
      </c>
      <c r="N85" t="s">
        <v>35</v>
      </c>
      <c r="O85" t="s">
        <v>246</v>
      </c>
    </row>
    <row r="86" spans="1:15" x14ac:dyDescent="0.3">
      <c r="A86" t="s">
        <v>359</v>
      </c>
      <c r="B86" t="s">
        <v>16</v>
      </c>
      <c r="C86" t="s">
        <v>43</v>
      </c>
      <c r="D86" t="s">
        <v>18</v>
      </c>
      <c r="E86" t="s">
        <v>56</v>
      </c>
      <c r="F86" t="s">
        <v>300</v>
      </c>
      <c r="G86" t="s">
        <v>360</v>
      </c>
      <c r="H86">
        <v>7.8</v>
      </c>
      <c r="I86">
        <v>5</v>
      </c>
      <c r="J86" t="s">
        <v>59</v>
      </c>
      <c r="K86" t="s">
        <v>23</v>
      </c>
      <c r="L86" t="s">
        <v>41</v>
      </c>
      <c r="M86">
        <v>0</v>
      </c>
      <c r="N86" t="s">
        <v>35</v>
      </c>
      <c r="O86" t="s">
        <v>361</v>
      </c>
    </row>
    <row r="87" spans="1:15" x14ac:dyDescent="0.3">
      <c r="A87" t="s">
        <v>362</v>
      </c>
      <c r="B87" t="s">
        <v>363</v>
      </c>
      <c r="C87" t="s">
        <v>43</v>
      </c>
      <c r="D87" t="s">
        <v>29</v>
      </c>
      <c r="E87" t="s">
        <v>69</v>
      </c>
      <c r="F87" t="s">
        <v>75</v>
      </c>
      <c r="G87" t="s">
        <v>364</v>
      </c>
      <c r="H87">
        <v>6.9</v>
      </c>
      <c r="I87">
        <v>2</v>
      </c>
      <c r="J87" t="s">
        <v>66</v>
      </c>
      <c r="K87" t="s">
        <v>23</v>
      </c>
      <c r="L87" t="s">
        <v>34</v>
      </c>
      <c r="M87">
        <v>0</v>
      </c>
      <c r="N87" t="s">
        <v>157</v>
      </c>
      <c r="O87" t="s">
        <v>365</v>
      </c>
    </row>
    <row r="88" spans="1:15" x14ac:dyDescent="0.3">
      <c r="A88" t="s">
        <v>366</v>
      </c>
      <c r="B88" t="s">
        <v>28</v>
      </c>
      <c r="C88" t="s">
        <v>17</v>
      </c>
      <c r="D88" t="s">
        <v>18</v>
      </c>
      <c r="E88" t="s">
        <v>69</v>
      </c>
      <c r="F88" t="s">
        <v>204</v>
      </c>
      <c r="G88" t="s">
        <v>266</v>
      </c>
      <c r="H88">
        <v>8.9</v>
      </c>
      <c r="I88">
        <v>2</v>
      </c>
      <c r="J88" t="s">
        <v>66</v>
      </c>
      <c r="K88" t="s">
        <v>23</v>
      </c>
      <c r="L88" t="s">
        <v>24</v>
      </c>
      <c r="M88">
        <v>0</v>
      </c>
      <c r="N88" t="s">
        <v>238</v>
      </c>
      <c r="O88" t="s">
        <v>208</v>
      </c>
    </row>
    <row r="89" spans="1:15" x14ac:dyDescent="0.3">
      <c r="A89" t="s">
        <v>367</v>
      </c>
      <c r="B89" t="s">
        <v>80</v>
      </c>
      <c r="C89" t="s">
        <v>150</v>
      </c>
      <c r="D89" t="s">
        <v>18</v>
      </c>
      <c r="E89" t="s">
        <v>69</v>
      </c>
      <c r="F89" t="s">
        <v>368</v>
      </c>
      <c r="G89" t="s">
        <v>369</v>
      </c>
      <c r="H89">
        <v>7.8</v>
      </c>
      <c r="I89">
        <v>2</v>
      </c>
      <c r="J89" t="s">
        <v>66</v>
      </c>
      <c r="K89" t="s">
        <v>51</v>
      </c>
      <c r="L89" t="s">
        <v>24</v>
      </c>
      <c r="M89">
        <v>0</v>
      </c>
      <c r="N89" t="s">
        <v>35</v>
      </c>
      <c r="O89" t="s">
        <v>370</v>
      </c>
    </row>
    <row r="90" spans="1:15" x14ac:dyDescent="0.3">
      <c r="A90" t="s">
        <v>371</v>
      </c>
      <c r="B90" t="s">
        <v>80</v>
      </c>
      <c r="C90" t="s">
        <v>17</v>
      </c>
      <c r="D90" t="s">
        <v>18</v>
      </c>
      <c r="E90" t="s">
        <v>107</v>
      </c>
      <c r="F90" t="s">
        <v>372</v>
      </c>
      <c r="G90" t="s">
        <v>373</v>
      </c>
      <c r="H90">
        <v>8.5</v>
      </c>
      <c r="I90">
        <v>3</v>
      </c>
      <c r="J90" t="s">
        <v>59</v>
      </c>
      <c r="K90" t="s">
        <v>23</v>
      </c>
      <c r="L90" t="s">
        <v>41</v>
      </c>
      <c r="M90">
        <v>1</v>
      </c>
      <c r="N90" t="s">
        <v>238</v>
      </c>
      <c r="O90" t="s">
        <v>374</v>
      </c>
    </row>
    <row r="91" spans="1:15" x14ac:dyDescent="0.3">
      <c r="A91" t="s">
        <v>375</v>
      </c>
      <c r="B91" t="s">
        <v>28</v>
      </c>
      <c r="C91" t="s">
        <v>43</v>
      </c>
      <c r="D91" t="s">
        <v>314</v>
      </c>
      <c r="E91" t="s">
        <v>19</v>
      </c>
      <c r="F91" t="s">
        <v>376</v>
      </c>
      <c r="G91" t="s">
        <v>377</v>
      </c>
      <c r="H91">
        <v>5.3</v>
      </c>
      <c r="I91">
        <v>2</v>
      </c>
      <c r="J91" t="s">
        <v>33</v>
      </c>
      <c r="K91" t="s">
        <v>23</v>
      </c>
      <c r="L91" t="s">
        <v>41</v>
      </c>
      <c r="M91">
        <v>0</v>
      </c>
      <c r="O91" t="s">
        <v>378</v>
      </c>
    </row>
    <row r="92" spans="1:15" x14ac:dyDescent="0.3">
      <c r="A92" t="s">
        <v>379</v>
      </c>
      <c r="B92" t="s">
        <v>16</v>
      </c>
      <c r="C92" t="s">
        <v>150</v>
      </c>
      <c r="D92" t="s">
        <v>18</v>
      </c>
      <c r="E92" t="s">
        <v>146</v>
      </c>
      <c r="F92" t="s">
        <v>380</v>
      </c>
      <c r="G92" t="s">
        <v>381</v>
      </c>
      <c r="H92">
        <v>8.1</v>
      </c>
      <c r="I92">
        <v>3</v>
      </c>
      <c r="J92" t="s">
        <v>66</v>
      </c>
      <c r="K92" t="s">
        <v>23</v>
      </c>
      <c r="L92" t="s">
        <v>41</v>
      </c>
      <c r="M92">
        <v>0</v>
      </c>
      <c r="N92" t="s">
        <v>35</v>
      </c>
      <c r="O92" t="s">
        <v>382</v>
      </c>
    </row>
    <row r="93" spans="1:15" x14ac:dyDescent="0.3">
      <c r="A93" t="s">
        <v>383</v>
      </c>
      <c r="B93" t="s">
        <v>48</v>
      </c>
      <c r="C93" t="s">
        <v>17</v>
      </c>
      <c r="D93" t="s">
        <v>18</v>
      </c>
      <c r="E93" t="s">
        <v>187</v>
      </c>
      <c r="F93" t="s">
        <v>166</v>
      </c>
      <c r="G93" t="s">
        <v>384</v>
      </c>
      <c r="H93">
        <v>6.3</v>
      </c>
      <c r="I93">
        <v>1</v>
      </c>
      <c r="J93" t="s">
        <v>59</v>
      </c>
      <c r="K93" t="s">
        <v>23</v>
      </c>
      <c r="L93" t="s">
        <v>34</v>
      </c>
      <c r="M93">
        <v>4</v>
      </c>
      <c r="N93" t="s">
        <v>35</v>
      </c>
      <c r="O93" t="s">
        <v>385</v>
      </c>
    </row>
    <row r="94" spans="1:15" x14ac:dyDescent="0.3">
      <c r="A94" t="s">
        <v>386</v>
      </c>
      <c r="B94" t="s">
        <v>16</v>
      </c>
      <c r="C94" t="s">
        <v>150</v>
      </c>
      <c r="D94" t="s">
        <v>387</v>
      </c>
      <c r="E94" t="s">
        <v>69</v>
      </c>
      <c r="F94" t="s">
        <v>388</v>
      </c>
      <c r="G94" t="s">
        <v>389</v>
      </c>
      <c r="H94">
        <v>5.0999999999999996</v>
      </c>
      <c r="I94">
        <v>3</v>
      </c>
      <c r="J94" t="s">
        <v>66</v>
      </c>
      <c r="K94" t="s">
        <v>23</v>
      </c>
      <c r="L94" t="s">
        <v>60</v>
      </c>
      <c r="M94">
        <v>2</v>
      </c>
      <c r="N94" t="s">
        <v>238</v>
      </c>
      <c r="O94" t="s">
        <v>390</v>
      </c>
    </row>
    <row r="95" spans="1:15" x14ac:dyDescent="0.3">
      <c r="A95" t="s">
        <v>391</v>
      </c>
      <c r="B95" t="s">
        <v>98</v>
      </c>
      <c r="C95" t="s">
        <v>43</v>
      </c>
      <c r="D95" t="s">
        <v>29</v>
      </c>
      <c r="E95" t="s">
        <v>38</v>
      </c>
      <c r="F95" t="s">
        <v>319</v>
      </c>
      <c r="G95" t="s">
        <v>392</v>
      </c>
      <c r="H95">
        <v>6</v>
      </c>
      <c r="I95">
        <v>0</v>
      </c>
      <c r="J95" t="s">
        <v>66</v>
      </c>
      <c r="K95" t="s">
        <v>23</v>
      </c>
      <c r="L95" t="s">
        <v>24</v>
      </c>
      <c r="M95">
        <v>0</v>
      </c>
      <c r="N95" t="s">
        <v>61</v>
      </c>
      <c r="O95" t="s">
        <v>316</v>
      </c>
    </row>
    <row r="96" spans="1:15" x14ac:dyDescent="0.3">
      <c r="A96" t="s">
        <v>393</v>
      </c>
      <c r="B96" t="s">
        <v>80</v>
      </c>
      <c r="C96" t="s">
        <v>43</v>
      </c>
      <c r="D96" t="s">
        <v>18</v>
      </c>
      <c r="E96" t="s">
        <v>107</v>
      </c>
      <c r="F96" t="s">
        <v>394</v>
      </c>
      <c r="G96" t="s">
        <v>395</v>
      </c>
      <c r="H96">
        <v>7.2</v>
      </c>
      <c r="I96">
        <v>3</v>
      </c>
      <c r="J96" t="s">
        <v>59</v>
      </c>
      <c r="K96" t="s">
        <v>51</v>
      </c>
      <c r="L96" t="s">
        <v>60</v>
      </c>
      <c r="M96">
        <v>1</v>
      </c>
      <c r="N96" t="s">
        <v>25</v>
      </c>
      <c r="O96" t="s">
        <v>396</v>
      </c>
    </row>
    <row r="97" spans="1:15" x14ac:dyDescent="0.3">
      <c r="A97" t="s">
        <v>397</v>
      </c>
      <c r="B97" t="s">
        <v>16</v>
      </c>
      <c r="C97" t="s">
        <v>17</v>
      </c>
      <c r="D97" t="s">
        <v>18</v>
      </c>
      <c r="E97" t="s">
        <v>38</v>
      </c>
      <c r="F97" t="s">
        <v>151</v>
      </c>
      <c r="G97" t="s">
        <v>171</v>
      </c>
      <c r="H97">
        <v>6</v>
      </c>
      <c r="I97">
        <v>6</v>
      </c>
      <c r="J97" t="s">
        <v>59</v>
      </c>
      <c r="K97" t="s">
        <v>23</v>
      </c>
      <c r="L97" t="s">
        <v>41</v>
      </c>
      <c r="M97">
        <v>1</v>
      </c>
      <c r="N97" t="s">
        <v>35</v>
      </c>
      <c r="O97" t="s">
        <v>179</v>
      </c>
    </row>
    <row r="98" spans="1:15" x14ac:dyDescent="0.3">
      <c r="A98" t="s">
        <v>398</v>
      </c>
      <c r="B98" t="s">
        <v>86</v>
      </c>
      <c r="C98" t="s">
        <v>55</v>
      </c>
      <c r="D98" t="s">
        <v>18</v>
      </c>
      <c r="E98" t="s">
        <v>107</v>
      </c>
      <c r="F98" t="s">
        <v>173</v>
      </c>
      <c r="G98" t="s">
        <v>307</v>
      </c>
      <c r="H98">
        <v>25</v>
      </c>
      <c r="I98">
        <v>1</v>
      </c>
      <c r="J98" t="s">
        <v>66</v>
      </c>
      <c r="K98" t="s">
        <v>23</v>
      </c>
      <c r="L98" t="s">
        <v>60</v>
      </c>
      <c r="M98">
        <v>2</v>
      </c>
      <c r="N98" t="s">
        <v>35</v>
      </c>
      <c r="O98" t="s">
        <v>399</v>
      </c>
    </row>
    <row r="99" spans="1:15" x14ac:dyDescent="0.3">
      <c r="A99" t="s">
        <v>400</v>
      </c>
      <c r="B99" t="s">
        <v>28</v>
      </c>
      <c r="C99" t="s">
        <v>17</v>
      </c>
      <c r="D99" t="s">
        <v>18</v>
      </c>
      <c r="E99" t="s">
        <v>401</v>
      </c>
      <c r="F99" t="s">
        <v>120</v>
      </c>
      <c r="G99" t="s">
        <v>124</v>
      </c>
      <c r="H99">
        <v>6.9</v>
      </c>
      <c r="I99">
        <v>2</v>
      </c>
      <c r="J99" t="s">
        <v>22</v>
      </c>
      <c r="K99" t="s">
        <v>23</v>
      </c>
      <c r="L99" t="s">
        <v>24</v>
      </c>
      <c r="M99">
        <v>0</v>
      </c>
      <c r="N99" t="s">
        <v>25</v>
      </c>
      <c r="O99" t="s">
        <v>402</v>
      </c>
    </row>
    <row r="100" spans="1:15" x14ac:dyDescent="0.3">
      <c r="A100" t="s">
        <v>403</v>
      </c>
      <c r="B100" t="s">
        <v>16</v>
      </c>
      <c r="C100" t="s">
        <v>17</v>
      </c>
      <c r="D100" t="s">
        <v>18</v>
      </c>
      <c r="E100" t="s">
        <v>404</v>
      </c>
      <c r="F100" t="s">
        <v>405</v>
      </c>
      <c r="G100" t="s">
        <v>406</v>
      </c>
      <c r="H100">
        <v>4.4000000000000004</v>
      </c>
      <c r="I100">
        <v>6</v>
      </c>
      <c r="J100" t="s">
        <v>66</v>
      </c>
      <c r="K100" t="s">
        <v>23</v>
      </c>
      <c r="L100" t="s">
        <v>34</v>
      </c>
      <c r="M100">
        <v>0</v>
      </c>
      <c r="N100" t="s">
        <v>35</v>
      </c>
      <c r="O100" t="s">
        <v>407</v>
      </c>
    </row>
    <row r="101" spans="1:15" x14ac:dyDescent="0.3">
      <c r="A101" t="s">
        <v>408</v>
      </c>
      <c r="B101" t="s">
        <v>16</v>
      </c>
      <c r="C101" t="s">
        <v>17</v>
      </c>
      <c r="D101" t="s">
        <v>18</v>
      </c>
      <c r="E101" t="s">
        <v>19</v>
      </c>
      <c r="F101" t="s">
        <v>188</v>
      </c>
      <c r="G101" t="s">
        <v>409</v>
      </c>
      <c r="H101">
        <v>7.6</v>
      </c>
      <c r="I101">
        <v>4</v>
      </c>
      <c r="J101" t="s">
        <v>66</v>
      </c>
      <c r="K101" t="s">
        <v>23</v>
      </c>
      <c r="L101" t="s">
        <v>41</v>
      </c>
      <c r="M101">
        <v>0</v>
      </c>
      <c r="N101" t="s">
        <v>35</v>
      </c>
      <c r="O101" t="s">
        <v>410</v>
      </c>
    </row>
    <row r="102" spans="1:15" x14ac:dyDescent="0.3">
      <c r="A102" t="s">
        <v>411</v>
      </c>
      <c r="B102" t="s">
        <v>86</v>
      </c>
      <c r="C102" t="s">
        <v>43</v>
      </c>
      <c r="D102" t="s">
        <v>29</v>
      </c>
      <c r="E102" t="s">
        <v>74</v>
      </c>
      <c r="F102" t="s">
        <v>412</v>
      </c>
      <c r="G102" t="s">
        <v>413</v>
      </c>
      <c r="H102">
        <v>6.6</v>
      </c>
      <c r="I102">
        <v>2</v>
      </c>
      <c r="J102" t="s">
        <v>59</v>
      </c>
      <c r="K102" t="s">
        <v>23</v>
      </c>
      <c r="L102" t="s">
        <v>34</v>
      </c>
      <c r="M102">
        <v>0</v>
      </c>
      <c r="N102" t="s">
        <v>61</v>
      </c>
      <c r="O102" t="s">
        <v>414</v>
      </c>
    </row>
    <row r="103" spans="1:15" x14ac:dyDescent="0.3">
      <c r="A103" t="s">
        <v>415</v>
      </c>
      <c r="B103" t="s">
        <v>80</v>
      </c>
      <c r="C103" t="s">
        <v>55</v>
      </c>
      <c r="D103" t="s">
        <v>18</v>
      </c>
      <c r="E103" t="s">
        <v>93</v>
      </c>
      <c r="F103" t="s">
        <v>198</v>
      </c>
      <c r="H103">
        <v>7.2</v>
      </c>
      <c r="I103">
        <v>3</v>
      </c>
      <c r="J103" t="s">
        <v>66</v>
      </c>
      <c r="K103" t="s">
        <v>23</v>
      </c>
      <c r="L103" t="s">
        <v>126</v>
      </c>
      <c r="M103">
        <v>0</v>
      </c>
      <c r="N103" t="s">
        <v>238</v>
      </c>
      <c r="O103" t="s">
        <v>416</v>
      </c>
    </row>
    <row r="104" spans="1:15" x14ac:dyDescent="0.3">
      <c r="A104" t="s">
        <v>417</v>
      </c>
      <c r="B104" t="s">
        <v>16</v>
      </c>
      <c r="C104" t="s">
        <v>17</v>
      </c>
      <c r="D104" t="s">
        <v>18</v>
      </c>
      <c r="E104" t="s">
        <v>38</v>
      </c>
      <c r="F104" t="s">
        <v>418</v>
      </c>
      <c r="G104" t="s">
        <v>419</v>
      </c>
      <c r="H104">
        <v>7.6</v>
      </c>
      <c r="I104">
        <v>7</v>
      </c>
      <c r="J104" t="s">
        <v>66</v>
      </c>
      <c r="K104" t="s">
        <v>51</v>
      </c>
      <c r="L104" t="s">
        <v>24</v>
      </c>
      <c r="M104">
        <v>0</v>
      </c>
      <c r="N104" t="s">
        <v>83</v>
      </c>
      <c r="O104" t="s">
        <v>420</v>
      </c>
    </row>
    <row r="105" spans="1:15" x14ac:dyDescent="0.3">
      <c r="A105" t="s">
        <v>136</v>
      </c>
      <c r="B105" t="s">
        <v>48</v>
      </c>
      <c r="C105" t="s">
        <v>17</v>
      </c>
      <c r="D105" t="s">
        <v>18</v>
      </c>
      <c r="E105" t="s">
        <v>69</v>
      </c>
      <c r="F105" t="s">
        <v>137</v>
      </c>
      <c r="G105" t="s">
        <v>138</v>
      </c>
      <c r="H105">
        <v>6.6</v>
      </c>
      <c r="I105">
        <v>2</v>
      </c>
      <c r="J105" t="s">
        <v>66</v>
      </c>
      <c r="K105" t="s">
        <v>23</v>
      </c>
      <c r="L105" t="s">
        <v>60</v>
      </c>
      <c r="M105">
        <v>1</v>
      </c>
      <c r="N105" t="s">
        <v>83</v>
      </c>
      <c r="O105" t="s">
        <v>139</v>
      </c>
    </row>
    <row r="106" spans="1:15" x14ac:dyDescent="0.3">
      <c r="A106" t="s">
        <v>421</v>
      </c>
      <c r="B106" t="s">
        <v>86</v>
      </c>
      <c r="C106" t="s">
        <v>210</v>
      </c>
      <c r="D106" t="s">
        <v>18</v>
      </c>
      <c r="E106" t="s">
        <v>56</v>
      </c>
      <c r="F106" t="s">
        <v>422</v>
      </c>
      <c r="G106" t="s">
        <v>423</v>
      </c>
      <c r="H106">
        <v>4.7</v>
      </c>
      <c r="I106">
        <v>2</v>
      </c>
      <c r="J106" t="s">
        <v>22</v>
      </c>
      <c r="K106" t="s">
        <v>23</v>
      </c>
      <c r="L106" t="s">
        <v>24</v>
      </c>
      <c r="M106">
        <v>3</v>
      </c>
      <c r="N106" t="s">
        <v>61</v>
      </c>
      <c r="O106" t="s">
        <v>424</v>
      </c>
    </row>
    <row r="107" spans="1:15" x14ac:dyDescent="0.3">
      <c r="A107" t="s">
        <v>425</v>
      </c>
      <c r="B107" t="s">
        <v>16</v>
      </c>
      <c r="C107" t="s">
        <v>150</v>
      </c>
      <c r="D107" t="s">
        <v>18</v>
      </c>
      <c r="E107" t="s">
        <v>69</v>
      </c>
      <c r="F107" t="s">
        <v>137</v>
      </c>
      <c r="G107" t="s">
        <v>426</v>
      </c>
      <c r="H107">
        <v>7.6</v>
      </c>
      <c r="I107">
        <v>3</v>
      </c>
      <c r="J107" t="s">
        <v>22</v>
      </c>
      <c r="K107" t="s">
        <v>23</v>
      </c>
      <c r="L107" t="s">
        <v>41</v>
      </c>
      <c r="M107">
        <v>0</v>
      </c>
      <c r="N107" t="s">
        <v>61</v>
      </c>
      <c r="O107" t="s">
        <v>427</v>
      </c>
    </row>
    <row r="108" spans="1:15" x14ac:dyDescent="0.3">
      <c r="A108" t="s">
        <v>200</v>
      </c>
      <c r="B108" t="s">
        <v>48</v>
      </c>
      <c r="C108" t="s">
        <v>17</v>
      </c>
      <c r="D108" t="s">
        <v>18</v>
      </c>
      <c r="E108" t="s">
        <v>38</v>
      </c>
      <c r="F108" t="s">
        <v>117</v>
      </c>
      <c r="G108" t="s">
        <v>201</v>
      </c>
      <c r="H108">
        <v>6.6</v>
      </c>
      <c r="I108">
        <v>3</v>
      </c>
      <c r="J108" t="s">
        <v>66</v>
      </c>
      <c r="K108" t="s">
        <v>51</v>
      </c>
      <c r="L108" t="s">
        <v>41</v>
      </c>
      <c r="M108">
        <v>0</v>
      </c>
      <c r="N108" t="s">
        <v>35</v>
      </c>
      <c r="O108" t="s">
        <v>202</v>
      </c>
    </row>
    <row r="109" spans="1:15" x14ac:dyDescent="0.3">
      <c r="A109" t="s">
        <v>428</v>
      </c>
      <c r="B109" t="s">
        <v>80</v>
      </c>
      <c r="C109" t="s">
        <v>55</v>
      </c>
      <c r="D109" t="s">
        <v>29</v>
      </c>
      <c r="E109" t="s">
        <v>146</v>
      </c>
      <c r="F109" t="s">
        <v>184</v>
      </c>
      <c r="G109" t="s">
        <v>429</v>
      </c>
      <c r="H109">
        <v>6</v>
      </c>
      <c r="I109">
        <v>1</v>
      </c>
      <c r="J109" t="s">
        <v>59</v>
      </c>
      <c r="K109" t="s">
        <v>51</v>
      </c>
      <c r="L109" t="s">
        <v>24</v>
      </c>
      <c r="M109">
        <v>2</v>
      </c>
      <c r="N109" t="s">
        <v>238</v>
      </c>
      <c r="O109" t="s">
        <v>430</v>
      </c>
    </row>
    <row r="110" spans="1:15" x14ac:dyDescent="0.3">
      <c r="A110" t="s">
        <v>431</v>
      </c>
      <c r="B110" t="s">
        <v>80</v>
      </c>
      <c r="C110" t="s">
        <v>210</v>
      </c>
      <c r="D110" t="s">
        <v>18</v>
      </c>
      <c r="E110" t="s">
        <v>19</v>
      </c>
      <c r="F110" t="s">
        <v>432</v>
      </c>
      <c r="G110" t="s">
        <v>319</v>
      </c>
      <c r="H110">
        <v>7.8</v>
      </c>
      <c r="I110">
        <v>6</v>
      </c>
      <c r="J110" t="s">
        <v>22</v>
      </c>
      <c r="K110" t="s">
        <v>23</v>
      </c>
      <c r="L110" t="s">
        <v>41</v>
      </c>
      <c r="M110">
        <v>0</v>
      </c>
      <c r="N110" t="s">
        <v>83</v>
      </c>
      <c r="O110" t="s">
        <v>433</v>
      </c>
    </row>
    <row r="111" spans="1:15" x14ac:dyDescent="0.3">
      <c r="A111" t="s">
        <v>434</v>
      </c>
      <c r="B111" t="s">
        <v>16</v>
      </c>
      <c r="C111" t="s">
        <v>210</v>
      </c>
      <c r="D111" t="s">
        <v>18</v>
      </c>
      <c r="E111" t="s">
        <v>146</v>
      </c>
      <c r="F111" t="s">
        <v>70</v>
      </c>
      <c r="G111" t="s">
        <v>435</v>
      </c>
      <c r="H111">
        <v>6.5</v>
      </c>
      <c r="I111">
        <v>4</v>
      </c>
      <c r="J111" t="s">
        <v>22</v>
      </c>
      <c r="K111" t="s">
        <v>23</v>
      </c>
      <c r="L111" t="s">
        <v>34</v>
      </c>
      <c r="M111">
        <v>1</v>
      </c>
      <c r="N111" t="s">
        <v>35</v>
      </c>
      <c r="O111" t="s">
        <v>436</v>
      </c>
    </row>
    <row r="112" spans="1:15" x14ac:dyDescent="0.3">
      <c r="A112" t="s">
        <v>437</v>
      </c>
      <c r="B112" t="s">
        <v>92</v>
      </c>
      <c r="C112" t="s">
        <v>17</v>
      </c>
      <c r="D112" t="s">
        <v>18</v>
      </c>
      <c r="E112" t="s">
        <v>93</v>
      </c>
      <c r="F112" t="s">
        <v>438</v>
      </c>
      <c r="G112" t="s">
        <v>430</v>
      </c>
      <c r="H112">
        <v>6.5</v>
      </c>
      <c r="I112">
        <v>4</v>
      </c>
      <c r="J112" t="s">
        <v>33</v>
      </c>
      <c r="K112" t="s">
        <v>23</v>
      </c>
      <c r="L112" t="s">
        <v>60</v>
      </c>
      <c r="M112">
        <v>2</v>
      </c>
      <c r="N112" t="s">
        <v>35</v>
      </c>
      <c r="O112" t="s">
        <v>272</v>
      </c>
    </row>
    <row r="113" spans="1:15" x14ac:dyDescent="0.3">
      <c r="A113" t="s">
        <v>439</v>
      </c>
      <c r="B113" t="s">
        <v>16</v>
      </c>
      <c r="C113" t="s">
        <v>17</v>
      </c>
      <c r="D113" t="s">
        <v>29</v>
      </c>
      <c r="E113" t="s">
        <v>146</v>
      </c>
      <c r="F113" t="s">
        <v>440</v>
      </c>
      <c r="G113" t="s">
        <v>118</v>
      </c>
      <c r="H113">
        <v>8</v>
      </c>
      <c r="I113">
        <v>3</v>
      </c>
      <c r="J113" t="s">
        <v>22</v>
      </c>
      <c r="K113" t="s">
        <v>23</v>
      </c>
      <c r="L113" t="s">
        <v>34</v>
      </c>
      <c r="M113">
        <v>0</v>
      </c>
      <c r="N113" t="s">
        <v>61</v>
      </c>
      <c r="O113" t="s">
        <v>441</v>
      </c>
    </row>
    <row r="114" spans="1:15" x14ac:dyDescent="0.3">
      <c r="A114" t="s">
        <v>442</v>
      </c>
      <c r="B114" t="s">
        <v>16</v>
      </c>
      <c r="C114" t="s">
        <v>210</v>
      </c>
      <c r="D114" t="s">
        <v>18</v>
      </c>
      <c r="E114" t="s">
        <v>38</v>
      </c>
      <c r="F114" t="s">
        <v>443</v>
      </c>
      <c r="G114" t="s">
        <v>444</v>
      </c>
      <c r="H114">
        <v>6.6</v>
      </c>
      <c r="I114">
        <v>1</v>
      </c>
      <c r="J114" t="s">
        <v>59</v>
      </c>
      <c r="K114" t="s">
        <v>23</v>
      </c>
      <c r="L114" t="s">
        <v>24</v>
      </c>
      <c r="M114">
        <v>2</v>
      </c>
      <c r="O114" t="s">
        <v>111</v>
      </c>
    </row>
    <row r="115" spans="1:15" x14ac:dyDescent="0.3">
      <c r="A115" t="s">
        <v>445</v>
      </c>
      <c r="B115" t="s">
        <v>16</v>
      </c>
      <c r="C115" t="s">
        <v>210</v>
      </c>
      <c r="D115" t="s">
        <v>29</v>
      </c>
      <c r="E115" t="s">
        <v>69</v>
      </c>
      <c r="F115" t="s">
        <v>446</v>
      </c>
      <c r="G115" t="s">
        <v>427</v>
      </c>
      <c r="H115">
        <v>7.1</v>
      </c>
      <c r="I115">
        <v>3</v>
      </c>
      <c r="J115" t="s">
        <v>66</v>
      </c>
      <c r="K115" t="s">
        <v>89</v>
      </c>
      <c r="L115" t="s">
        <v>60</v>
      </c>
      <c r="M115">
        <v>0</v>
      </c>
      <c r="N115" t="s">
        <v>238</v>
      </c>
      <c r="O115" t="s">
        <v>447</v>
      </c>
    </row>
    <row r="116" spans="1:15" x14ac:dyDescent="0.3">
      <c r="A116" t="s">
        <v>448</v>
      </c>
      <c r="B116" t="s">
        <v>86</v>
      </c>
      <c r="C116" t="s">
        <v>150</v>
      </c>
      <c r="D116" t="s">
        <v>29</v>
      </c>
      <c r="E116" t="s">
        <v>69</v>
      </c>
      <c r="F116" t="s">
        <v>70</v>
      </c>
      <c r="G116" t="s">
        <v>449</v>
      </c>
      <c r="H116">
        <v>7.6</v>
      </c>
      <c r="I116">
        <v>4</v>
      </c>
      <c r="J116" t="s">
        <v>66</v>
      </c>
      <c r="K116" t="s">
        <v>23</v>
      </c>
      <c r="L116" t="s">
        <v>77</v>
      </c>
      <c r="M116">
        <v>0</v>
      </c>
      <c r="N116" t="s">
        <v>83</v>
      </c>
      <c r="O116" t="s">
        <v>450</v>
      </c>
    </row>
    <row r="117" spans="1:15" x14ac:dyDescent="0.3">
      <c r="A117" t="s">
        <v>451</v>
      </c>
      <c r="B117" t="s">
        <v>16</v>
      </c>
      <c r="C117" t="s">
        <v>17</v>
      </c>
      <c r="D117" t="s">
        <v>29</v>
      </c>
      <c r="E117" t="s">
        <v>38</v>
      </c>
      <c r="F117" t="s">
        <v>323</v>
      </c>
      <c r="G117" t="s">
        <v>452</v>
      </c>
      <c r="H117">
        <v>7.4</v>
      </c>
      <c r="I117">
        <v>0</v>
      </c>
      <c r="J117" t="s">
        <v>59</v>
      </c>
      <c r="K117" t="s">
        <v>51</v>
      </c>
      <c r="L117" t="s">
        <v>24</v>
      </c>
      <c r="M117">
        <v>0</v>
      </c>
      <c r="N117" t="s">
        <v>83</v>
      </c>
      <c r="O117" t="s">
        <v>453</v>
      </c>
    </row>
    <row r="118" spans="1:15" x14ac:dyDescent="0.3">
      <c r="A118" t="s">
        <v>454</v>
      </c>
      <c r="B118" t="s">
        <v>86</v>
      </c>
      <c r="C118" t="s">
        <v>150</v>
      </c>
      <c r="D118" t="s">
        <v>18</v>
      </c>
      <c r="E118" t="s">
        <v>69</v>
      </c>
      <c r="F118" t="s">
        <v>455</v>
      </c>
      <c r="G118" t="s">
        <v>456</v>
      </c>
      <c r="H118">
        <v>6</v>
      </c>
      <c r="I118">
        <v>1</v>
      </c>
      <c r="J118" t="s">
        <v>59</v>
      </c>
      <c r="K118" t="s">
        <v>23</v>
      </c>
      <c r="L118" t="s">
        <v>126</v>
      </c>
      <c r="M118">
        <v>0</v>
      </c>
      <c r="N118" t="s">
        <v>35</v>
      </c>
      <c r="O118" t="s">
        <v>457</v>
      </c>
    </row>
    <row r="119" spans="1:15" x14ac:dyDescent="0.3">
      <c r="A119" t="s">
        <v>280</v>
      </c>
      <c r="B119" t="s">
        <v>16</v>
      </c>
      <c r="C119" t="s">
        <v>210</v>
      </c>
      <c r="D119" t="s">
        <v>18</v>
      </c>
      <c r="E119" t="s">
        <v>69</v>
      </c>
      <c r="F119" t="s">
        <v>160</v>
      </c>
      <c r="G119" t="s">
        <v>281</v>
      </c>
      <c r="H119">
        <v>8.5</v>
      </c>
      <c r="I119">
        <v>8</v>
      </c>
      <c r="J119" t="s">
        <v>22</v>
      </c>
      <c r="K119" t="s">
        <v>23</v>
      </c>
      <c r="L119" t="s">
        <v>77</v>
      </c>
      <c r="M119">
        <v>0</v>
      </c>
      <c r="O119" t="s">
        <v>282</v>
      </c>
    </row>
    <row r="120" spans="1:15" x14ac:dyDescent="0.3">
      <c r="A120" t="s">
        <v>458</v>
      </c>
      <c r="B120" t="s">
        <v>28</v>
      </c>
      <c r="C120" t="s">
        <v>150</v>
      </c>
      <c r="D120" t="s">
        <v>18</v>
      </c>
      <c r="E120" t="s">
        <v>146</v>
      </c>
      <c r="F120" t="s">
        <v>266</v>
      </c>
      <c r="G120" t="s">
        <v>423</v>
      </c>
      <c r="H120">
        <v>6.9</v>
      </c>
      <c r="I120">
        <v>2</v>
      </c>
      <c r="J120" t="s">
        <v>33</v>
      </c>
      <c r="K120" t="s">
        <v>23</v>
      </c>
      <c r="L120" t="s">
        <v>24</v>
      </c>
      <c r="M120">
        <v>2</v>
      </c>
      <c r="N120" t="s">
        <v>52</v>
      </c>
      <c r="O120" t="s">
        <v>303</v>
      </c>
    </row>
    <row r="121" spans="1:15" x14ac:dyDescent="0.3">
      <c r="A121" t="s">
        <v>459</v>
      </c>
      <c r="B121" t="s">
        <v>80</v>
      </c>
      <c r="C121" t="s">
        <v>55</v>
      </c>
      <c r="D121" t="s">
        <v>29</v>
      </c>
      <c r="E121" t="s">
        <v>74</v>
      </c>
      <c r="F121" t="s">
        <v>460</v>
      </c>
      <c r="G121" t="s">
        <v>461</v>
      </c>
      <c r="I121">
        <v>5</v>
      </c>
      <c r="J121" t="s">
        <v>33</v>
      </c>
      <c r="K121" t="s">
        <v>51</v>
      </c>
      <c r="L121" t="s">
        <v>41</v>
      </c>
      <c r="M121">
        <v>3</v>
      </c>
      <c r="N121" t="s">
        <v>25</v>
      </c>
      <c r="O121" t="s">
        <v>462</v>
      </c>
    </row>
    <row r="122" spans="1:15" x14ac:dyDescent="0.3">
      <c r="A122" t="s">
        <v>463</v>
      </c>
      <c r="B122" t="s">
        <v>16</v>
      </c>
      <c r="C122" t="s">
        <v>17</v>
      </c>
      <c r="D122" t="s">
        <v>18</v>
      </c>
      <c r="E122" t="s">
        <v>74</v>
      </c>
      <c r="F122" t="s">
        <v>323</v>
      </c>
      <c r="G122" t="s">
        <v>381</v>
      </c>
      <c r="H122">
        <v>5.9</v>
      </c>
      <c r="I122">
        <v>0</v>
      </c>
      <c r="J122" t="s">
        <v>33</v>
      </c>
      <c r="K122" t="s">
        <v>51</v>
      </c>
      <c r="L122" t="s">
        <v>77</v>
      </c>
      <c r="M122">
        <v>0</v>
      </c>
      <c r="O122" t="s">
        <v>175</v>
      </c>
    </row>
    <row r="123" spans="1:15" x14ac:dyDescent="0.3">
      <c r="A123" t="s">
        <v>464</v>
      </c>
      <c r="B123" t="s">
        <v>16</v>
      </c>
      <c r="C123" t="s">
        <v>43</v>
      </c>
      <c r="D123" t="s">
        <v>18</v>
      </c>
      <c r="E123" t="s">
        <v>69</v>
      </c>
      <c r="F123" t="s">
        <v>465</v>
      </c>
      <c r="G123" t="s">
        <v>466</v>
      </c>
      <c r="H123">
        <v>6.7</v>
      </c>
      <c r="I123">
        <v>3</v>
      </c>
      <c r="J123" t="s">
        <v>22</v>
      </c>
      <c r="K123" t="s">
        <v>51</v>
      </c>
      <c r="L123" t="s">
        <v>24</v>
      </c>
      <c r="M123">
        <v>0</v>
      </c>
      <c r="N123" t="s">
        <v>61</v>
      </c>
      <c r="O123" t="s">
        <v>467</v>
      </c>
    </row>
    <row r="124" spans="1:15" x14ac:dyDescent="0.3">
      <c r="A124" t="s">
        <v>468</v>
      </c>
      <c r="B124" t="s">
        <v>16</v>
      </c>
      <c r="C124" t="s">
        <v>150</v>
      </c>
      <c r="D124" t="s">
        <v>29</v>
      </c>
      <c r="E124" t="s">
        <v>74</v>
      </c>
      <c r="F124" t="s">
        <v>133</v>
      </c>
      <c r="G124" t="s">
        <v>469</v>
      </c>
      <c r="H124">
        <v>7.9</v>
      </c>
      <c r="I124">
        <v>3</v>
      </c>
      <c r="J124" t="s">
        <v>66</v>
      </c>
      <c r="K124" t="s">
        <v>23</v>
      </c>
      <c r="L124" t="s">
        <v>41</v>
      </c>
      <c r="M124">
        <v>0</v>
      </c>
      <c r="N124" t="s">
        <v>25</v>
      </c>
      <c r="O124" t="s">
        <v>122</v>
      </c>
    </row>
    <row r="125" spans="1:15" x14ac:dyDescent="0.3">
      <c r="A125" t="s">
        <v>470</v>
      </c>
      <c r="B125" t="s">
        <v>16</v>
      </c>
      <c r="C125" t="s">
        <v>210</v>
      </c>
      <c r="D125" t="s">
        <v>471</v>
      </c>
      <c r="E125" t="s">
        <v>69</v>
      </c>
      <c r="F125" t="s">
        <v>472</v>
      </c>
      <c r="G125" t="s">
        <v>473</v>
      </c>
      <c r="H125">
        <v>5.3</v>
      </c>
      <c r="I125">
        <v>1</v>
      </c>
      <c r="J125" t="s">
        <v>22</v>
      </c>
      <c r="K125" t="s">
        <v>23</v>
      </c>
      <c r="L125" t="s">
        <v>24</v>
      </c>
      <c r="M125">
        <v>1</v>
      </c>
      <c r="N125" t="s">
        <v>35</v>
      </c>
      <c r="O125" t="s">
        <v>474</v>
      </c>
    </row>
    <row r="126" spans="1:15" x14ac:dyDescent="0.3">
      <c r="A126" t="s">
        <v>475</v>
      </c>
      <c r="B126" t="s">
        <v>86</v>
      </c>
      <c r="C126" t="s">
        <v>17</v>
      </c>
      <c r="D126" t="s">
        <v>18</v>
      </c>
      <c r="E126" t="s">
        <v>38</v>
      </c>
      <c r="F126" t="s">
        <v>340</v>
      </c>
      <c r="G126" t="s">
        <v>476</v>
      </c>
      <c r="H126">
        <v>25</v>
      </c>
      <c r="I126">
        <v>1</v>
      </c>
      <c r="J126" t="s">
        <v>33</v>
      </c>
      <c r="K126" t="s">
        <v>51</v>
      </c>
      <c r="L126" t="s">
        <v>34</v>
      </c>
      <c r="M126">
        <v>1</v>
      </c>
      <c r="N126" t="s">
        <v>35</v>
      </c>
      <c r="O126" t="s">
        <v>477</v>
      </c>
    </row>
    <row r="127" spans="1:15" x14ac:dyDescent="0.3">
      <c r="A127" t="s">
        <v>478</v>
      </c>
      <c r="B127" t="s">
        <v>16</v>
      </c>
      <c r="C127" t="s">
        <v>17</v>
      </c>
      <c r="D127" t="s">
        <v>29</v>
      </c>
      <c r="E127" t="s">
        <v>38</v>
      </c>
      <c r="F127" t="s">
        <v>221</v>
      </c>
      <c r="G127" t="s">
        <v>479</v>
      </c>
      <c r="H127">
        <v>8.9</v>
      </c>
      <c r="I127">
        <v>3</v>
      </c>
      <c r="J127" t="s">
        <v>33</v>
      </c>
      <c r="K127" t="s">
        <v>51</v>
      </c>
      <c r="L127" t="s">
        <v>34</v>
      </c>
      <c r="M127">
        <v>4</v>
      </c>
      <c r="N127" t="s">
        <v>61</v>
      </c>
      <c r="O127" t="s">
        <v>480</v>
      </c>
    </row>
    <row r="128" spans="1:15" x14ac:dyDescent="0.3">
      <c r="A128" t="s">
        <v>386</v>
      </c>
      <c r="B128" t="s">
        <v>16</v>
      </c>
      <c r="C128" t="s">
        <v>150</v>
      </c>
      <c r="D128" t="s">
        <v>387</v>
      </c>
      <c r="E128" t="s">
        <v>69</v>
      </c>
      <c r="F128" t="s">
        <v>388</v>
      </c>
      <c r="G128" t="s">
        <v>389</v>
      </c>
      <c r="H128">
        <v>5.0999999999999996</v>
      </c>
      <c r="I128">
        <v>3</v>
      </c>
      <c r="J128" t="s">
        <v>66</v>
      </c>
      <c r="K128" t="s">
        <v>23</v>
      </c>
      <c r="L128" t="s">
        <v>60</v>
      </c>
      <c r="M128">
        <v>2</v>
      </c>
      <c r="N128" t="s">
        <v>238</v>
      </c>
      <c r="O128" t="s">
        <v>390</v>
      </c>
    </row>
    <row r="129" spans="1:15" x14ac:dyDescent="0.3">
      <c r="A129" t="s">
        <v>481</v>
      </c>
      <c r="B129" t="s">
        <v>16</v>
      </c>
      <c r="C129" t="s">
        <v>43</v>
      </c>
      <c r="D129" t="s">
        <v>29</v>
      </c>
      <c r="E129" t="s">
        <v>107</v>
      </c>
      <c r="G129" t="s">
        <v>482</v>
      </c>
      <c r="H129">
        <v>6.8</v>
      </c>
      <c r="I129">
        <v>4</v>
      </c>
      <c r="J129" t="s">
        <v>59</v>
      </c>
      <c r="K129" t="s">
        <v>23</v>
      </c>
      <c r="L129" t="s">
        <v>24</v>
      </c>
      <c r="M129">
        <v>2</v>
      </c>
      <c r="O129" t="s">
        <v>483</v>
      </c>
    </row>
    <row r="130" spans="1:15" x14ac:dyDescent="0.3">
      <c r="A130" t="s">
        <v>484</v>
      </c>
      <c r="B130" t="s">
        <v>80</v>
      </c>
      <c r="C130" t="s">
        <v>210</v>
      </c>
      <c r="D130" t="s">
        <v>18</v>
      </c>
      <c r="E130" t="s">
        <v>107</v>
      </c>
      <c r="F130" t="s">
        <v>485</v>
      </c>
      <c r="G130" t="s">
        <v>241</v>
      </c>
      <c r="H130">
        <v>7.2</v>
      </c>
      <c r="I130">
        <v>3</v>
      </c>
      <c r="J130" t="s">
        <v>22</v>
      </c>
      <c r="K130" t="s">
        <v>23</v>
      </c>
      <c r="L130" t="s">
        <v>41</v>
      </c>
      <c r="M130">
        <v>0</v>
      </c>
      <c r="N130" t="s">
        <v>35</v>
      </c>
      <c r="O130" t="s">
        <v>486</v>
      </c>
    </row>
    <row r="131" spans="1:15" x14ac:dyDescent="0.3">
      <c r="A131" t="s">
        <v>487</v>
      </c>
      <c r="B131" t="s">
        <v>16</v>
      </c>
      <c r="C131" t="s">
        <v>43</v>
      </c>
      <c r="D131" t="s">
        <v>29</v>
      </c>
      <c r="E131" t="s">
        <v>74</v>
      </c>
      <c r="F131" t="s">
        <v>488</v>
      </c>
      <c r="G131" t="s">
        <v>489</v>
      </c>
      <c r="H131">
        <v>0</v>
      </c>
      <c r="I131">
        <v>4</v>
      </c>
      <c r="J131" t="s">
        <v>22</v>
      </c>
      <c r="K131" t="s">
        <v>23</v>
      </c>
      <c r="L131" t="s">
        <v>41</v>
      </c>
      <c r="M131">
        <v>0</v>
      </c>
      <c r="O131" t="s">
        <v>490</v>
      </c>
    </row>
    <row r="132" spans="1:15" x14ac:dyDescent="0.3">
      <c r="A132" t="s">
        <v>491</v>
      </c>
      <c r="B132" t="s">
        <v>80</v>
      </c>
      <c r="C132" t="s">
        <v>150</v>
      </c>
      <c r="D132" t="s">
        <v>18</v>
      </c>
      <c r="E132" t="s">
        <v>38</v>
      </c>
      <c r="F132" t="s">
        <v>492</v>
      </c>
      <c r="G132" t="s">
        <v>493</v>
      </c>
      <c r="H132">
        <v>6.9</v>
      </c>
      <c r="I132">
        <v>2</v>
      </c>
      <c r="J132" t="s">
        <v>33</v>
      </c>
      <c r="K132" t="s">
        <v>23</v>
      </c>
      <c r="L132" t="s">
        <v>41</v>
      </c>
      <c r="M132">
        <v>0</v>
      </c>
      <c r="N132" t="s">
        <v>83</v>
      </c>
      <c r="O132" t="s">
        <v>430</v>
      </c>
    </row>
    <row r="133" spans="1:15" x14ac:dyDescent="0.3">
      <c r="A133" t="s">
        <v>494</v>
      </c>
      <c r="B133" t="s">
        <v>80</v>
      </c>
      <c r="C133" t="s">
        <v>43</v>
      </c>
      <c r="D133" t="s">
        <v>29</v>
      </c>
      <c r="E133" t="s">
        <v>56</v>
      </c>
      <c r="F133" t="s">
        <v>82</v>
      </c>
      <c r="G133" t="s">
        <v>490</v>
      </c>
      <c r="H133">
        <v>8.1</v>
      </c>
      <c r="I133">
        <v>2</v>
      </c>
      <c r="J133" t="s">
        <v>59</v>
      </c>
      <c r="K133" t="s">
        <v>23</v>
      </c>
      <c r="L133" t="s">
        <v>34</v>
      </c>
      <c r="M133">
        <v>3</v>
      </c>
      <c r="N133" t="s">
        <v>52</v>
      </c>
      <c r="O133" t="s">
        <v>219</v>
      </c>
    </row>
    <row r="134" spans="1:15" x14ac:dyDescent="0.3">
      <c r="A134" t="s">
        <v>495</v>
      </c>
      <c r="B134" t="s">
        <v>48</v>
      </c>
      <c r="C134" t="s">
        <v>17</v>
      </c>
      <c r="D134" t="s">
        <v>18</v>
      </c>
      <c r="E134" t="s">
        <v>93</v>
      </c>
      <c r="F134" t="s">
        <v>496</v>
      </c>
      <c r="G134" t="s">
        <v>497</v>
      </c>
      <c r="H134">
        <v>7</v>
      </c>
      <c r="I134">
        <v>4</v>
      </c>
      <c r="J134" t="s">
        <v>33</v>
      </c>
      <c r="K134" t="s">
        <v>23</v>
      </c>
      <c r="L134" t="s">
        <v>60</v>
      </c>
      <c r="M134">
        <v>0</v>
      </c>
      <c r="N134" t="s">
        <v>498</v>
      </c>
      <c r="O134" t="s">
        <v>499</v>
      </c>
    </row>
    <row r="135" spans="1:15" x14ac:dyDescent="0.3">
      <c r="A135" t="s">
        <v>500</v>
      </c>
      <c r="B135" t="s">
        <v>80</v>
      </c>
      <c r="C135" t="s">
        <v>55</v>
      </c>
      <c r="D135" t="s">
        <v>18</v>
      </c>
      <c r="E135" t="s">
        <v>38</v>
      </c>
      <c r="F135" t="s">
        <v>285</v>
      </c>
      <c r="G135" t="s">
        <v>501</v>
      </c>
      <c r="H135">
        <v>5.6</v>
      </c>
      <c r="I135">
        <v>3</v>
      </c>
      <c r="J135" t="s">
        <v>66</v>
      </c>
      <c r="K135" t="s">
        <v>23</v>
      </c>
      <c r="L135" t="s">
        <v>34</v>
      </c>
      <c r="M135">
        <v>0</v>
      </c>
      <c r="N135" t="s">
        <v>61</v>
      </c>
      <c r="O135" t="s">
        <v>62</v>
      </c>
    </row>
    <row r="136" spans="1:15" x14ac:dyDescent="0.3">
      <c r="A136" t="s">
        <v>502</v>
      </c>
      <c r="B136" t="s">
        <v>48</v>
      </c>
      <c r="C136" t="s">
        <v>503</v>
      </c>
      <c r="D136" t="s">
        <v>29</v>
      </c>
      <c r="E136" t="s">
        <v>187</v>
      </c>
      <c r="F136" t="s">
        <v>173</v>
      </c>
      <c r="G136" t="s">
        <v>271</v>
      </c>
      <c r="H136">
        <v>6.4</v>
      </c>
      <c r="I136">
        <v>0</v>
      </c>
      <c r="J136" t="s">
        <v>33</v>
      </c>
      <c r="K136" t="s">
        <v>23</v>
      </c>
      <c r="L136" t="s">
        <v>34</v>
      </c>
      <c r="M136">
        <v>-2</v>
      </c>
      <c r="N136" t="s">
        <v>83</v>
      </c>
      <c r="O136" t="s">
        <v>290</v>
      </c>
    </row>
    <row r="137" spans="1:15" x14ac:dyDescent="0.3">
      <c r="A137" t="s">
        <v>91</v>
      </c>
      <c r="B137" t="s">
        <v>92</v>
      </c>
      <c r="C137" t="s">
        <v>17</v>
      </c>
      <c r="D137" t="s">
        <v>18</v>
      </c>
      <c r="E137" t="s">
        <v>93</v>
      </c>
      <c r="F137" t="s">
        <v>94</v>
      </c>
      <c r="G137" t="s">
        <v>95</v>
      </c>
      <c r="H137">
        <v>6.7</v>
      </c>
      <c r="I137">
        <v>5</v>
      </c>
      <c r="J137" t="s">
        <v>66</v>
      </c>
      <c r="K137" t="s">
        <v>23</v>
      </c>
      <c r="L137" t="s">
        <v>41</v>
      </c>
      <c r="M137">
        <v>0</v>
      </c>
      <c r="N137" t="s">
        <v>83</v>
      </c>
      <c r="O137" t="s">
        <v>96</v>
      </c>
    </row>
    <row r="138" spans="1:15" x14ac:dyDescent="0.3">
      <c r="A138" t="s">
        <v>504</v>
      </c>
      <c r="B138" t="s">
        <v>16</v>
      </c>
      <c r="C138" t="s">
        <v>55</v>
      </c>
      <c r="D138" t="s">
        <v>18</v>
      </c>
      <c r="E138" t="s">
        <v>56</v>
      </c>
      <c r="F138" t="s">
        <v>347</v>
      </c>
      <c r="G138" t="s">
        <v>505</v>
      </c>
      <c r="H138">
        <v>6.7</v>
      </c>
      <c r="I138">
        <v>5</v>
      </c>
      <c r="J138" t="s">
        <v>33</v>
      </c>
      <c r="K138" t="s">
        <v>23</v>
      </c>
      <c r="L138" t="s">
        <v>34</v>
      </c>
      <c r="M138">
        <v>0</v>
      </c>
      <c r="N138" t="s">
        <v>61</v>
      </c>
      <c r="O138" t="s">
        <v>215</v>
      </c>
    </row>
    <row r="139" spans="1:15" x14ac:dyDescent="0.3">
      <c r="A139" t="s">
        <v>506</v>
      </c>
      <c r="B139" t="s">
        <v>80</v>
      </c>
      <c r="C139" t="s">
        <v>17</v>
      </c>
      <c r="D139" t="s">
        <v>18</v>
      </c>
      <c r="E139" t="s">
        <v>69</v>
      </c>
      <c r="F139" t="s">
        <v>507</v>
      </c>
      <c r="G139" t="s">
        <v>253</v>
      </c>
      <c r="H139">
        <v>7.9</v>
      </c>
      <c r="I139">
        <v>6</v>
      </c>
      <c r="J139" t="s">
        <v>66</v>
      </c>
      <c r="K139" t="s">
        <v>23</v>
      </c>
      <c r="L139" t="s">
        <v>41</v>
      </c>
      <c r="M139">
        <v>0</v>
      </c>
      <c r="N139" t="s">
        <v>83</v>
      </c>
      <c r="O139" t="s">
        <v>414</v>
      </c>
    </row>
    <row r="140" spans="1:15" x14ac:dyDescent="0.3">
      <c r="A140" t="s">
        <v>508</v>
      </c>
      <c r="B140" t="s">
        <v>86</v>
      </c>
      <c r="C140" t="s">
        <v>17</v>
      </c>
      <c r="D140" t="s">
        <v>29</v>
      </c>
      <c r="E140" t="s">
        <v>74</v>
      </c>
      <c r="F140" t="s">
        <v>509</v>
      </c>
      <c r="G140" t="s">
        <v>510</v>
      </c>
      <c r="H140">
        <v>6.8</v>
      </c>
      <c r="I140">
        <v>2</v>
      </c>
      <c r="J140" t="s">
        <v>66</v>
      </c>
      <c r="K140" t="s">
        <v>511</v>
      </c>
      <c r="L140" t="s">
        <v>24</v>
      </c>
      <c r="M140">
        <v>2</v>
      </c>
      <c r="N140" t="s">
        <v>83</v>
      </c>
      <c r="O140" t="s">
        <v>483</v>
      </c>
    </row>
    <row r="141" spans="1:15" x14ac:dyDescent="0.3">
      <c r="A141" t="s">
        <v>512</v>
      </c>
      <c r="B141" t="s">
        <v>86</v>
      </c>
      <c r="C141" t="s">
        <v>210</v>
      </c>
      <c r="D141" t="s">
        <v>18</v>
      </c>
      <c r="E141" t="s">
        <v>56</v>
      </c>
      <c r="F141" t="s">
        <v>513</v>
      </c>
      <c r="G141" t="s">
        <v>323</v>
      </c>
      <c r="H141">
        <v>5.7</v>
      </c>
      <c r="I141">
        <v>5</v>
      </c>
      <c r="J141" t="s">
        <v>33</v>
      </c>
      <c r="K141" t="s">
        <v>23</v>
      </c>
      <c r="L141" t="s">
        <v>24</v>
      </c>
      <c r="M141">
        <v>0</v>
      </c>
      <c r="N141" t="s">
        <v>61</v>
      </c>
      <c r="O141" t="s">
        <v>436</v>
      </c>
    </row>
    <row r="142" spans="1:15" x14ac:dyDescent="0.3">
      <c r="A142" t="s">
        <v>514</v>
      </c>
      <c r="B142" t="s">
        <v>16</v>
      </c>
      <c r="C142" t="s">
        <v>43</v>
      </c>
      <c r="D142" t="s">
        <v>18</v>
      </c>
      <c r="E142" t="s">
        <v>56</v>
      </c>
      <c r="F142" t="s">
        <v>174</v>
      </c>
      <c r="G142" t="s">
        <v>261</v>
      </c>
      <c r="H142">
        <v>8.1</v>
      </c>
      <c r="I142">
        <v>2</v>
      </c>
      <c r="K142" t="s">
        <v>23</v>
      </c>
      <c r="L142" t="s">
        <v>34</v>
      </c>
      <c r="M142">
        <v>0</v>
      </c>
      <c r="N142" t="s">
        <v>35</v>
      </c>
      <c r="O142" t="s">
        <v>515</v>
      </c>
    </row>
    <row r="143" spans="1:15" x14ac:dyDescent="0.3">
      <c r="A143" t="s">
        <v>516</v>
      </c>
      <c r="B143" t="s">
        <v>28</v>
      </c>
      <c r="C143" t="s">
        <v>43</v>
      </c>
      <c r="D143" t="s">
        <v>29</v>
      </c>
      <c r="E143" t="s">
        <v>69</v>
      </c>
      <c r="F143" t="s">
        <v>197</v>
      </c>
      <c r="G143" t="s">
        <v>517</v>
      </c>
      <c r="H143">
        <v>5.3</v>
      </c>
      <c r="I143">
        <v>4</v>
      </c>
      <c r="J143" t="s">
        <v>33</v>
      </c>
      <c r="K143" t="s">
        <v>23</v>
      </c>
      <c r="L143" t="s">
        <v>24</v>
      </c>
      <c r="M143">
        <v>0</v>
      </c>
      <c r="N143" t="s">
        <v>25</v>
      </c>
      <c r="O143" t="s">
        <v>518</v>
      </c>
    </row>
    <row r="144" spans="1:15" x14ac:dyDescent="0.3">
      <c r="A144" t="s">
        <v>519</v>
      </c>
      <c r="B144" t="s">
        <v>80</v>
      </c>
      <c r="C144" t="s">
        <v>210</v>
      </c>
      <c r="D144" t="s">
        <v>18</v>
      </c>
      <c r="E144" t="s">
        <v>69</v>
      </c>
      <c r="F144" t="s">
        <v>253</v>
      </c>
      <c r="G144" t="s">
        <v>520</v>
      </c>
      <c r="H144">
        <v>8.6999999999999993</v>
      </c>
      <c r="I144">
        <v>8</v>
      </c>
      <c r="J144" t="s">
        <v>59</v>
      </c>
      <c r="K144" t="s">
        <v>23</v>
      </c>
      <c r="L144" t="s">
        <v>41</v>
      </c>
      <c r="M144">
        <v>0</v>
      </c>
      <c r="N144" t="s">
        <v>157</v>
      </c>
      <c r="O144" t="s">
        <v>521</v>
      </c>
    </row>
    <row r="145" spans="1:15" x14ac:dyDescent="0.3">
      <c r="A145" t="s">
        <v>522</v>
      </c>
      <c r="B145" t="s">
        <v>48</v>
      </c>
      <c r="C145" t="s">
        <v>210</v>
      </c>
      <c r="D145" t="s">
        <v>29</v>
      </c>
      <c r="E145" t="s">
        <v>19</v>
      </c>
      <c r="F145" t="s">
        <v>523</v>
      </c>
      <c r="G145" t="s">
        <v>524</v>
      </c>
      <c r="H145">
        <v>8.3000000000000007</v>
      </c>
      <c r="I145">
        <v>2</v>
      </c>
      <c r="J145" t="s">
        <v>33</v>
      </c>
      <c r="K145" t="s">
        <v>23</v>
      </c>
      <c r="L145" t="s">
        <v>34</v>
      </c>
      <c r="M145">
        <v>1</v>
      </c>
      <c r="N145" t="s">
        <v>238</v>
      </c>
      <c r="O145" t="s">
        <v>525</v>
      </c>
    </row>
    <row r="146" spans="1:15" x14ac:dyDescent="0.3">
      <c r="A146" t="s">
        <v>526</v>
      </c>
      <c r="B146" t="s">
        <v>80</v>
      </c>
      <c r="C146" t="s">
        <v>284</v>
      </c>
      <c r="D146" t="s">
        <v>387</v>
      </c>
      <c r="E146" t="s">
        <v>38</v>
      </c>
      <c r="F146" t="s">
        <v>311</v>
      </c>
      <c r="G146" t="s">
        <v>527</v>
      </c>
      <c r="H146">
        <v>6.4</v>
      </c>
      <c r="I146">
        <v>2</v>
      </c>
      <c r="J146" t="s">
        <v>22</v>
      </c>
      <c r="K146" t="s">
        <v>23</v>
      </c>
      <c r="L146" t="s">
        <v>41</v>
      </c>
      <c r="M146">
        <v>3</v>
      </c>
      <c r="N146" t="s">
        <v>25</v>
      </c>
      <c r="O146" t="s">
        <v>528</v>
      </c>
    </row>
    <row r="147" spans="1:15" x14ac:dyDescent="0.3">
      <c r="A147" t="s">
        <v>529</v>
      </c>
      <c r="B147" t="s">
        <v>16</v>
      </c>
      <c r="C147" t="s">
        <v>17</v>
      </c>
      <c r="D147" t="s">
        <v>29</v>
      </c>
      <c r="E147" t="s">
        <v>146</v>
      </c>
      <c r="F147" t="s">
        <v>530</v>
      </c>
      <c r="G147" t="s">
        <v>531</v>
      </c>
      <c r="H147">
        <v>6</v>
      </c>
      <c r="I147">
        <v>7</v>
      </c>
      <c r="J147" t="s">
        <v>33</v>
      </c>
      <c r="K147" t="s">
        <v>23</v>
      </c>
      <c r="L147" t="s">
        <v>24</v>
      </c>
      <c r="M147">
        <v>0</v>
      </c>
      <c r="N147" t="s">
        <v>238</v>
      </c>
      <c r="O147" t="s">
        <v>532</v>
      </c>
    </row>
    <row r="148" spans="1:15" x14ac:dyDescent="0.3">
      <c r="A148" t="s">
        <v>533</v>
      </c>
      <c r="B148" t="s">
        <v>16</v>
      </c>
      <c r="C148" t="s">
        <v>17</v>
      </c>
      <c r="D148" t="s">
        <v>346</v>
      </c>
      <c r="E148" t="s">
        <v>56</v>
      </c>
      <c r="F148" t="s">
        <v>534</v>
      </c>
      <c r="G148" t="s">
        <v>254</v>
      </c>
      <c r="H148">
        <v>7.6</v>
      </c>
      <c r="I148">
        <v>1</v>
      </c>
      <c r="J148" t="s">
        <v>66</v>
      </c>
      <c r="K148" t="s">
        <v>23</v>
      </c>
      <c r="L148" t="s">
        <v>41</v>
      </c>
      <c r="M148">
        <v>0</v>
      </c>
      <c r="N148" t="s">
        <v>35</v>
      </c>
      <c r="O148" t="s">
        <v>535</v>
      </c>
    </row>
    <row r="149" spans="1:15" x14ac:dyDescent="0.3">
      <c r="A149" t="s">
        <v>536</v>
      </c>
      <c r="B149" t="s">
        <v>80</v>
      </c>
      <c r="C149" t="s">
        <v>43</v>
      </c>
      <c r="D149" t="s">
        <v>18</v>
      </c>
      <c r="E149" t="s">
        <v>107</v>
      </c>
      <c r="F149" t="s">
        <v>537</v>
      </c>
      <c r="G149" t="s">
        <v>476</v>
      </c>
      <c r="H149">
        <v>3.8</v>
      </c>
      <c r="I149">
        <v>1</v>
      </c>
      <c r="J149" t="s">
        <v>22</v>
      </c>
      <c r="K149" t="s">
        <v>23</v>
      </c>
      <c r="L149" t="s">
        <v>60</v>
      </c>
      <c r="M149">
        <v>0</v>
      </c>
      <c r="N149" t="s">
        <v>61</v>
      </c>
      <c r="O149" t="s">
        <v>352</v>
      </c>
    </row>
    <row r="150" spans="1:15" x14ac:dyDescent="0.3">
      <c r="A150" t="s">
        <v>538</v>
      </c>
      <c r="B150" t="s">
        <v>16</v>
      </c>
      <c r="C150" t="s">
        <v>210</v>
      </c>
      <c r="D150" t="s">
        <v>18</v>
      </c>
      <c r="E150" t="s">
        <v>19</v>
      </c>
      <c r="F150" t="s">
        <v>539</v>
      </c>
      <c r="G150" t="s">
        <v>58</v>
      </c>
      <c r="H150">
        <v>6.9</v>
      </c>
      <c r="I150">
        <v>3</v>
      </c>
      <c r="J150" t="s">
        <v>33</v>
      </c>
      <c r="K150" t="s">
        <v>23</v>
      </c>
      <c r="L150" t="s">
        <v>24</v>
      </c>
      <c r="M150">
        <v>3</v>
      </c>
      <c r="N150" t="s">
        <v>35</v>
      </c>
      <c r="O150" t="s">
        <v>185</v>
      </c>
    </row>
    <row r="151" spans="1:15" x14ac:dyDescent="0.3">
      <c r="A151" t="s">
        <v>540</v>
      </c>
      <c r="B151" t="s">
        <v>16</v>
      </c>
      <c r="C151" t="s">
        <v>43</v>
      </c>
      <c r="D151" t="s">
        <v>29</v>
      </c>
      <c r="E151" t="s">
        <v>38</v>
      </c>
      <c r="F151" t="s">
        <v>440</v>
      </c>
      <c r="G151" t="s">
        <v>541</v>
      </c>
      <c r="H151">
        <v>6.4</v>
      </c>
      <c r="I151">
        <v>2</v>
      </c>
      <c r="J151" t="s">
        <v>66</v>
      </c>
      <c r="K151" t="s">
        <v>51</v>
      </c>
      <c r="L151" t="s">
        <v>41</v>
      </c>
      <c r="M151">
        <v>0</v>
      </c>
      <c r="N151" t="s">
        <v>35</v>
      </c>
      <c r="O151" t="s">
        <v>96</v>
      </c>
    </row>
    <row r="152" spans="1:15" x14ac:dyDescent="0.3">
      <c r="A152" t="s">
        <v>542</v>
      </c>
      <c r="B152" t="s">
        <v>86</v>
      </c>
      <c r="C152" t="s">
        <v>150</v>
      </c>
      <c r="D152" t="s">
        <v>29</v>
      </c>
      <c r="E152" t="s">
        <v>69</v>
      </c>
      <c r="F152" t="s">
        <v>70</v>
      </c>
      <c r="G152" t="s">
        <v>449</v>
      </c>
      <c r="H152">
        <v>7.6</v>
      </c>
      <c r="I152">
        <v>4</v>
      </c>
      <c r="J152" t="s">
        <v>66</v>
      </c>
      <c r="K152" t="s">
        <v>23</v>
      </c>
      <c r="L152" t="s">
        <v>77</v>
      </c>
      <c r="M152">
        <v>0</v>
      </c>
      <c r="N152" t="s">
        <v>83</v>
      </c>
      <c r="O152" t="s">
        <v>450</v>
      </c>
    </row>
    <row r="153" spans="1:15" x14ac:dyDescent="0.3">
      <c r="A153" t="s">
        <v>543</v>
      </c>
      <c r="B153" t="s">
        <v>16</v>
      </c>
      <c r="C153" t="s">
        <v>55</v>
      </c>
      <c r="D153" t="s">
        <v>29</v>
      </c>
      <c r="E153" t="s">
        <v>38</v>
      </c>
      <c r="F153" t="s">
        <v>544</v>
      </c>
      <c r="G153" t="s">
        <v>545</v>
      </c>
      <c r="H153">
        <v>6.6</v>
      </c>
      <c r="I153">
        <v>2</v>
      </c>
      <c r="J153" t="s">
        <v>33</v>
      </c>
      <c r="K153" t="s">
        <v>23</v>
      </c>
      <c r="L153" t="s">
        <v>34</v>
      </c>
      <c r="M153">
        <v>0</v>
      </c>
      <c r="N153" t="s">
        <v>25</v>
      </c>
      <c r="O153" t="s">
        <v>546</v>
      </c>
    </row>
    <row r="154" spans="1:15" x14ac:dyDescent="0.3">
      <c r="A154" t="s">
        <v>547</v>
      </c>
      <c r="B154" t="s">
        <v>86</v>
      </c>
      <c r="C154" t="s">
        <v>150</v>
      </c>
      <c r="D154" t="s">
        <v>18</v>
      </c>
      <c r="E154" t="s">
        <v>38</v>
      </c>
      <c r="F154" t="s">
        <v>117</v>
      </c>
      <c r="G154" t="s">
        <v>548</v>
      </c>
      <c r="H154">
        <v>5.4</v>
      </c>
      <c r="I154">
        <v>1</v>
      </c>
      <c r="J154" t="s">
        <v>22</v>
      </c>
      <c r="K154" t="s">
        <v>51</v>
      </c>
      <c r="L154" t="s">
        <v>41</v>
      </c>
      <c r="M154">
        <v>0</v>
      </c>
      <c r="N154" t="s">
        <v>35</v>
      </c>
    </row>
    <row r="155" spans="1:15" x14ac:dyDescent="0.3">
      <c r="A155" t="s">
        <v>549</v>
      </c>
      <c r="B155" t="s">
        <v>16</v>
      </c>
      <c r="C155" t="s">
        <v>43</v>
      </c>
      <c r="D155" t="s">
        <v>18</v>
      </c>
      <c r="E155" t="s">
        <v>38</v>
      </c>
      <c r="F155" t="s">
        <v>550</v>
      </c>
      <c r="G155" t="s">
        <v>294</v>
      </c>
      <c r="H155">
        <v>6.8</v>
      </c>
      <c r="I155">
        <v>3</v>
      </c>
      <c r="J155" t="s">
        <v>22</v>
      </c>
      <c r="K155" t="s">
        <v>23</v>
      </c>
      <c r="L155" t="s">
        <v>41</v>
      </c>
      <c r="M155">
        <v>4</v>
      </c>
      <c r="N155" t="s">
        <v>35</v>
      </c>
      <c r="O155" t="s">
        <v>551</v>
      </c>
    </row>
    <row r="156" spans="1:15" x14ac:dyDescent="0.3">
      <c r="A156" t="s">
        <v>552</v>
      </c>
      <c r="B156" t="s">
        <v>16</v>
      </c>
      <c r="C156" t="s">
        <v>17</v>
      </c>
      <c r="D156" t="s">
        <v>29</v>
      </c>
      <c r="E156" t="s">
        <v>107</v>
      </c>
      <c r="F156" t="s">
        <v>364</v>
      </c>
      <c r="G156" t="s">
        <v>553</v>
      </c>
      <c r="H156">
        <v>5.4</v>
      </c>
      <c r="I156">
        <v>0</v>
      </c>
      <c r="J156" t="s">
        <v>33</v>
      </c>
      <c r="K156" t="s">
        <v>51</v>
      </c>
      <c r="L156" t="s">
        <v>60</v>
      </c>
      <c r="M156">
        <v>0</v>
      </c>
      <c r="N156" t="s">
        <v>35</v>
      </c>
      <c r="O156" t="s">
        <v>554</v>
      </c>
    </row>
    <row r="157" spans="1:15" x14ac:dyDescent="0.3">
      <c r="A157" t="s">
        <v>495</v>
      </c>
      <c r="B157" t="s">
        <v>48</v>
      </c>
      <c r="C157" t="s">
        <v>17</v>
      </c>
      <c r="D157" t="s">
        <v>18</v>
      </c>
      <c r="E157" t="s">
        <v>93</v>
      </c>
      <c r="F157" t="s">
        <v>496</v>
      </c>
      <c r="G157" t="s">
        <v>497</v>
      </c>
      <c r="H157">
        <v>7</v>
      </c>
      <c r="I157">
        <v>5</v>
      </c>
      <c r="J157" t="s">
        <v>33</v>
      </c>
      <c r="K157" t="s">
        <v>23</v>
      </c>
      <c r="L157" t="s">
        <v>60</v>
      </c>
      <c r="M157">
        <v>0</v>
      </c>
      <c r="N157" t="s">
        <v>498</v>
      </c>
      <c r="O157" t="s">
        <v>499</v>
      </c>
    </row>
    <row r="158" spans="1:15" x14ac:dyDescent="0.3">
      <c r="A158" t="s">
        <v>555</v>
      </c>
      <c r="B158" t="s">
        <v>16</v>
      </c>
      <c r="C158" t="s">
        <v>55</v>
      </c>
      <c r="D158" t="s">
        <v>29</v>
      </c>
      <c r="E158" t="s">
        <v>38</v>
      </c>
      <c r="F158" t="s">
        <v>556</v>
      </c>
      <c r="G158" t="s">
        <v>557</v>
      </c>
      <c r="H158">
        <v>8.3000000000000007</v>
      </c>
      <c r="I158">
        <v>2</v>
      </c>
      <c r="J158" t="s">
        <v>33</v>
      </c>
      <c r="K158" t="s">
        <v>51</v>
      </c>
      <c r="L158" t="s">
        <v>41</v>
      </c>
      <c r="M158">
        <v>2</v>
      </c>
      <c r="N158" t="s">
        <v>35</v>
      </c>
      <c r="O158" t="s">
        <v>558</v>
      </c>
    </row>
    <row r="159" spans="1:15" x14ac:dyDescent="0.3">
      <c r="A159" t="s">
        <v>559</v>
      </c>
      <c r="B159" t="s">
        <v>80</v>
      </c>
      <c r="C159" t="s">
        <v>43</v>
      </c>
      <c r="D159" t="s">
        <v>18</v>
      </c>
      <c r="E159" t="s">
        <v>38</v>
      </c>
      <c r="F159" t="s">
        <v>388</v>
      </c>
      <c r="H159">
        <v>6.4</v>
      </c>
      <c r="I159">
        <v>3</v>
      </c>
      <c r="J159" t="s">
        <v>22</v>
      </c>
      <c r="K159" t="s">
        <v>23</v>
      </c>
      <c r="L159" t="s">
        <v>41</v>
      </c>
      <c r="M159">
        <v>1</v>
      </c>
      <c r="N159" t="s">
        <v>61</v>
      </c>
      <c r="O159" t="s">
        <v>560</v>
      </c>
    </row>
    <row r="160" spans="1:15" x14ac:dyDescent="0.3">
      <c r="A160" t="s">
        <v>561</v>
      </c>
      <c r="B160" t="s">
        <v>80</v>
      </c>
      <c r="C160" t="s">
        <v>150</v>
      </c>
      <c r="D160" t="s">
        <v>29</v>
      </c>
      <c r="E160" t="s">
        <v>187</v>
      </c>
      <c r="F160" t="s">
        <v>562</v>
      </c>
      <c r="G160" t="s">
        <v>357</v>
      </c>
      <c r="H160">
        <v>0</v>
      </c>
      <c r="I160">
        <v>0</v>
      </c>
      <c r="J160" t="s">
        <v>33</v>
      </c>
      <c r="K160" t="s">
        <v>23</v>
      </c>
      <c r="L160" t="s">
        <v>34</v>
      </c>
      <c r="M160">
        <v>0</v>
      </c>
      <c r="N160" t="s">
        <v>25</v>
      </c>
      <c r="O160" t="s">
        <v>563</v>
      </c>
    </row>
    <row r="161" spans="1:15" x14ac:dyDescent="0.3">
      <c r="A161" t="s">
        <v>564</v>
      </c>
      <c r="B161" t="s">
        <v>28</v>
      </c>
      <c r="C161" t="s">
        <v>43</v>
      </c>
      <c r="D161" t="s">
        <v>29</v>
      </c>
      <c r="E161" t="s">
        <v>69</v>
      </c>
      <c r="F161" t="s">
        <v>565</v>
      </c>
      <c r="G161" t="s">
        <v>566</v>
      </c>
      <c r="H161">
        <v>6.4</v>
      </c>
      <c r="I161">
        <v>3</v>
      </c>
      <c r="J161" t="s">
        <v>22</v>
      </c>
      <c r="K161" t="s">
        <v>23</v>
      </c>
      <c r="L161" t="s">
        <v>24</v>
      </c>
      <c r="M161">
        <v>0</v>
      </c>
      <c r="N161" t="s">
        <v>25</v>
      </c>
      <c r="O161" t="s">
        <v>567</v>
      </c>
    </row>
    <row r="162" spans="1:15" x14ac:dyDescent="0.3">
      <c r="A162" t="s">
        <v>568</v>
      </c>
      <c r="B162" t="s">
        <v>86</v>
      </c>
      <c r="C162" t="s">
        <v>43</v>
      </c>
      <c r="D162" t="s">
        <v>18</v>
      </c>
      <c r="E162" t="s">
        <v>19</v>
      </c>
      <c r="F162" t="s">
        <v>188</v>
      </c>
      <c r="G162" t="s">
        <v>188</v>
      </c>
      <c r="H162">
        <v>7.3</v>
      </c>
      <c r="I162">
        <v>6</v>
      </c>
      <c r="J162" t="s">
        <v>66</v>
      </c>
      <c r="K162" t="s">
        <v>23</v>
      </c>
      <c r="L162" t="s">
        <v>24</v>
      </c>
      <c r="M162">
        <v>0</v>
      </c>
      <c r="N162" t="s">
        <v>35</v>
      </c>
      <c r="O162" t="s">
        <v>569</v>
      </c>
    </row>
    <row r="163" spans="1:15" x14ac:dyDescent="0.3">
      <c r="A163" t="s">
        <v>570</v>
      </c>
      <c r="B163" t="s">
        <v>86</v>
      </c>
      <c r="C163" t="s">
        <v>210</v>
      </c>
      <c r="D163" t="s">
        <v>29</v>
      </c>
      <c r="E163" t="s">
        <v>69</v>
      </c>
      <c r="F163" t="s">
        <v>20</v>
      </c>
      <c r="G163" t="s">
        <v>237</v>
      </c>
      <c r="H163">
        <v>6.7</v>
      </c>
      <c r="I163">
        <v>6</v>
      </c>
      <c r="J163" t="s">
        <v>33</v>
      </c>
      <c r="K163" t="s">
        <v>23</v>
      </c>
      <c r="L163" t="s">
        <v>34</v>
      </c>
      <c r="M163">
        <v>0</v>
      </c>
      <c r="N163" t="s">
        <v>61</v>
      </c>
      <c r="O163" t="s">
        <v>139</v>
      </c>
    </row>
    <row r="164" spans="1:15" x14ac:dyDescent="0.3">
      <c r="A164" t="s">
        <v>571</v>
      </c>
      <c r="B164" t="s">
        <v>28</v>
      </c>
      <c r="C164" t="s">
        <v>43</v>
      </c>
      <c r="D164" t="s">
        <v>29</v>
      </c>
      <c r="E164" t="s">
        <v>69</v>
      </c>
      <c r="F164" t="s">
        <v>343</v>
      </c>
      <c r="G164" t="s">
        <v>380</v>
      </c>
      <c r="H164">
        <v>7</v>
      </c>
      <c r="I164">
        <v>5</v>
      </c>
      <c r="J164" t="s">
        <v>59</v>
      </c>
      <c r="K164" t="s">
        <v>23</v>
      </c>
      <c r="L164" t="s">
        <v>34</v>
      </c>
      <c r="M164">
        <v>0</v>
      </c>
      <c r="N164" t="s">
        <v>83</v>
      </c>
      <c r="O164" t="s">
        <v>168</v>
      </c>
    </row>
    <row r="165" spans="1:15" x14ac:dyDescent="0.3">
      <c r="A165" t="s">
        <v>572</v>
      </c>
      <c r="B165" t="s">
        <v>16</v>
      </c>
      <c r="C165" t="s">
        <v>150</v>
      </c>
      <c r="D165" t="s">
        <v>29</v>
      </c>
      <c r="E165" t="s">
        <v>69</v>
      </c>
      <c r="F165" t="s">
        <v>184</v>
      </c>
      <c r="G165" t="s">
        <v>81</v>
      </c>
      <c r="H165">
        <v>7.2</v>
      </c>
      <c r="I165">
        <v>4</v>
      </c>
      <c r="J165" t="s">
        <v>66</v>
      </c>
      <c r="K165" t="s">
        <v>51</v>
      </c>
      <c r="L165" t="s">
        <v>41</v>
      </c>
      <c r="M165">
        <v>0</v>
      </c>
      <c r="N165" t="s">
        <v>35</v>
      </c>
      <c r="O165" t="s">
        <v>573</v>
      </c>
    </row>
    <row r="166" spans="1:15" x14ac:dyDescent="0.3">
      <c r="A166" t="s">
        <v>574</v>
      </c>
      <c r="B166" t="s">
        <v>80</v>
      </c>
      <c r="C166" t="s">
        <v>17</v>
      </c>
      <c r="D166" t="s">
        <v>18</v>
      </c>
      <c r="E166" t="s">
        <v>69</v>
      </c>
      <c r="F166" t="s">
        <v>575</v>
      </c>
      <c r="G166" t="s">
        <v>576</v>
      </c>
      <c r="H166">
        <v>4</v>
      </c>
      <c r="I166">
        <v>5</v>
      </c>
      <c r="J166" t="s">
        <v>33</v>
      </c>
      <c r="K166" t="s">
        <v>51</v>
      </c>
      <c r="L166" t="s">
        <v>34</v>
      </c>
      <c r="M166">
        <v>0</v>
      </c>
      <c r="N166" t="s">
        <v>35</v>
      </c>
      <c r="O166" t="s">
        <v>577</v>
      </c>
    </row>
    <row r="167" spans="1:15" x14ac:dyDescent="0.3">
      <c r="A167" t="s">
        <v>578</v>
      </c>
      <c r="B167" t="s">
        <v>86</v>
      </c>
      <c r="C167" t="s">
        <v>17</v>
      </c>
      <c r="D167" t="s">
        <v>18</v>
      </c>
      <c r="E167" t="s">
        <v>146</v>
      </c>
      <c r="F167" t="s">
        <v>579</v>
      </c>
      <c r="G167" t="s">
        <v>580</v>
      </c>
      <c r="H167">
        <v>5.6</v>
      </c>
      <c r="I167">
        <v>2</v>
      </c>
      <c r="J167" t="s">
        <v>66</v>
      </c>
      <c r="K167" t="s">
        <v>23</v>
      </c>
      <c r="L167" t="s">
        <v>34</v>
      </c>
      <c r="M167">
        <v>0</v>
      </c>
      <c r="N167" t="s">
        <v>61</v>
      </c>
      <c r="O167" t="s">
        <v>581</v>
      </c>
    </row>
    <row r="168" spans="1:15" x14ac:dyDescent="0.3">
      <c r="A168" t="s">
        <v>582</v>
      </c>
      <c r="B168" t="s">
        <v>48</v>
      </c>
      <c r="C168" t="s">
        <v>17</v>
      </c>
      <c r="D168" t="s">
        <v>471</v>
      </c>
      <c r="E168" t="s">
        <v>146</v>
      </c>
      <c r="F168" t="s">
        <v>94</v>
      </c>
      <c r="G168" t="s">
        <v>583</v>
      </c>
      <c r="H168">
        <v>7.3</v>
      </c>
      <c r="I168">
        <v>2</v>
      </c>
      <c r="K168" t="s">
        <v>51</v>
      </c>
      <c r="L168" t="s">
        <v>41</v>
      </c>
      <c r="M168">
        <v>0</v>
      </c>
      <c r="N168" t="s">
        <v>35</v>
      </c>
      <c r="O168" t="s">
        <v>584</v>
      </c>
    </row>
    <row r="169" spans="1:15" x14ac:dyDescent="0.3">
      <c r="A169" t="s">
        <v>585</v>
      </c>
      <c r="B169" t="s">
        <v>86</v>
      </c>
      <c r="C169" t="s">
        <v>150</v>
      </c>
      <c r="D169" t="s">
        <v>18</v>
      </c>
      <c r="E169" t="s">
        <v>19</v>
      </c>
      <c r="F169" t="s">
        <v>586</v>
      </c>
      <c r="G169" t="s">
        <v>587</v>
      </c>
      <c r="H169">
        <v>6.3</v>
      </c>
      <c r="I169">
        <v>5</v>
      </c>
      <c r="J169" t="s">
        <v>59</v>
      </c>
      <c r="K169" t="s">
        <v>51</v>
      </c>
      <c r="L169" t="s">
        <v>77</v>
      </c>
      <c r="M169">
        <v>0</v>
      </c>
      <c r="N169" t="s">
        <v>61</v>
      </c>
      <c r="O169" t="s">
        <v>551</v>
      </c>
    </row>
    <row r="170" spans="1:15" x14ac:dyDescent="0.3">
      <c r="A170" t="s">
        <v>588</v>
      </c>
      <c r="B170" t="s">
        <v>28</v>
      </c>
      <c r="C170" t="s">
        <v>43</v>
      </c>
      <c r="D170" t="s">
        <v>29</v>
      </c>
      <c r="E170" t="s">
        <v>146</v>
      </c>
      <c r="F170" t="s">
        <v>539</v>
      </c>
      <c r="G170" t="s">
        <v>589</v>
      </c>
      <c r="H170">
        <v>6.6</v>
      </c>
      <c r="I170">
        <v>4</v>
      </c>
      <c r="J170" t="s">
        <v>66</v>
      </c>
      <c r="K170" t="s">
        <v>23</v>
      </c>
      <c r="L170" t="s">
        <v>34</v>
      </c>
      <c r="M170">
        <v>0</v>
      </c>
      <c r="N170" t="s">
        <v>25</v>
      </c>
      <c r="O170" t="s">
        <v>590</v>
      </c>
    </row>
    <row r="171" spans="1:15" x14ac:dyDescent="0.3">
      <c r="A171" t="s">
        <v>591</v>
      </c>
      <c r="B171" t="s">
        <v>86</v>
      </c>
      <c r="C171" t="s">
        <v>150</v>
      </c>
      <c r="D171" t="s">
        <v>29</v>
      </c>
      <c r="E171" t="s">
        <v>69</v>
      </c>
      <c r="F171" t="s">
        <v>592</v>
      </c>
      <c r="G171" t="s">
        <v>537</v>
      </c>
      <c r="H171">
        <v>7</v>
      </c>
      <c r="I171">
        <v>2</v>
      </c>
      <c r="J171" t="s">
        <v>22</v>
      </c>
      <c r="K171" t="s">
        <v>23</v>
      </c>
      <c r="L171" t="s">
        <v>77</v>
      </c>
      <c r="M171">
        <v>0</v>
      </c>
      <c r="N171" t="s">
        <v>35</v>
      </c>
      <c r="O171" t="s">
        <v>593</v>
      </c>
    </row>
    <row r="172" spans="1:15" x14ac:dyDescent="0.3">
      <c r="A172" t="s">
        <v>594</v>
      </c>
      <c r="B172" t="s">
        <v>16</v>
      </c>
      <c r="C172" t="s">
        <v>43</v>
      </c>
      <c r="D172" t="s">
        <v>29</v>
      </c>
      <c r="E172" t="s">
        <v>74</v>
      </c>
      <c r="F172" t="s">
        <v>595</v>
      </c>
      <c r="G172" t="s">
        <v>596</v>
      </c>
      <c r="H172">
        <v>6.7</v>
      </c>
      <c r="I172">
        <v>1</v>
      </c>
      <c r="J172" t="s">
        <v>33</v>
      </c>
      <c r="K172" t="s">
        <v>23</v>
      </c>
      <c r="L172" t="s">
        <v>60</v>
      </c>
      <c r="M172">
        <v>0</v>
      </c>
      <c r="N172" t="s">
        <v>35</v>
      </c>
      <c r="O172" t="s">
        <v>597</v>
      </c>
    </row>
    <row r="173" spans="1:15" x14ac:dyDescent="0.3">
      <c r="A173" t="s">
        <v>594</v>
      </c>
      <c r="B173" t="s">
        <v>16</v>
      </c>
      <c r="C173" t="s">
        <v>43</v>
      </c>
      <c r="D173" t="s">
        <v>29</v>
      </c>
      <c r="E173" t="s">
        <v>74</v>
      </c>
      <c r="F173" t="s">
        <v>595</v>
      </c>
      <c r="G173" t="s">
        <v>596</v>
      </c>
      <c r="H173">
        <v>6.7</v>
      </c>
      <c r="I173">
        <v>1</v>
      </c>
      <c r="J173" t="s">
        <v>33</v>
      </c>
      <c r="K173" t="s">
        <v>23</v>
      </c>
      <c r="L173" t="s">
        <v>60</v>
      </c>
      <c r="M173">
        <v>0</v>
      </c>
      <c r="N173" t="s">
        <v>35</v>
      </c>
      <c r="O173" t="s">
        <v>597</v>
      </c>
    </row>
    <row r="174" spans="1:15" x14ac:dyDescent="0.3">
      <c r="A174" t="s">
        <v>598</v>
      </c>
      <c r="B174" t="s">
        <v>48</v>
      </c>
      <c r="C174" t="s">
        <v>210</v>
      </c>
      <c r="D174" t="s">
        <v>18</v>
      </c>
      <c r="E174" t="s">
        <v>56</v>
      </c>
      <c r="F174" t="s">
        <v>599</v>
      </c>
      <c r="G174" t="s">
        <v>600</v>
      </c>
      <c r="H174">
        <v>7</v>
      </c>
      <c r="I174">
        <v>6</v>
      </c>
      <c r="J174" t="s">
        <v>22</v>
      </c>
      <c r="K174" t="s">
        <v>23</v>
      </c>
      <c r="L174" t="s">
        <v>41</v>
      </c>
      <c r="M174">
        <v>0</v>
      </c>
      <c r="N174" t="s">
        <v>157</v>
      </c>
    </row>
    <row r="175" spans="1:15" x14ac:dyDescent="0.3">
      <c r="A175" t="s">
        <v>601</v>
      </c>
      <c r="B175" t="s">
        <v>16</v>
      </c>
      <c r="C175" t="s">
        <v>210</v>
      </c>
      <c r="D175" t="s">
        <v>29</v>
      </c>
      <c r="E175" t="s">
        <v>107</v>
      </c>
      <c r="F175" t="s">
        <v>166</v>
      </c>
      <c r="G175" t="s">
        <v>602</v>
      </c>
      <c r="H175">
        <v>7</v>
      </c>
      <c r="I175">
        <v>3</v>
      </c>
      <c r="J175" t="s">
        <v>22</v>
      </c>
      <c r="K175" t="s">
        <v>23</v>
      </c>
      <c r="L175" t="s">
        <v>34</v>
      </c>
      <c r="M175">
        <v>0</v>
      </c>
      <c r="N175" t="s">
        <v>61</v>
      </c>
    </row>
    <row r="176" spans="1:15" x14ac:dyDescent="0.3">
      <c r="A176" t="s">
        <v>603</v>
      </c>
      <c r="B176" t="s">
        <v>80</v>
      </c>
      <c r="C176" t="s">
        <v>17</v>
      </c>
      <c r="D176" t="s">
        <v>29</v>
      </c>
      <c r="E176" t="s">
        <v>38</v>
      </c>
      <c r="F176" t="s">
        <v>306</v>
      </c>
      <c r="G176" t="s">
        <v>124</v>
      </c>
      <c r="H176">
        <v>5</v>
      </c>
      <c r="I176">
        <v>2</v>
      </c>
      <c r="J176" t="s">
        <v>22</v>
      </c>
      <c r="K176" t="s">
        <v>23</v>
      </c>
      <c r="L176" t="s">
        <v>24</v>
      </c>
      <c r="M176">
        <v>0</v>
      </c>
      <c r="N176" t="s">
        <v>61</v>
      </c>
      <c r="O176" t="s">
        <v>158</v>
      </c>
    </row>
    <row r="177" spans="1:15" x14ac:dyDescent="0.3">
      <c r="A177" t="s">
        <v>604</v>
      </c>
      <c r="B177" t="s">
        <v>80</v>
      </c>
      <c r="C177" t="s">
        <v>43</v>
      </c>
      <c r="D177" t="s">
        <v>18</v>
      </c>
      <c r="E177" t="s">
        <v>146</v>
      </c>
      <c r="F177" t="s">
        <v>357</v>
      </c>
      <c r="G177" t="s">
        <v>605</v>
      </c>
      <c r="H177">
        <v>7.3</v>
      </c>
      <c r="I177">
        <v>2</v>
      </c>
      <c r="J177" t="s">
        <v>22</v>
      </c>
      <c r="K177" t="s">
        <v>23</v>
      </c>
      <c r="L177" t="s">
        <v>34</v>
      </c>
      <c r="M177">
        <v>0</v>
      </c>
      <c r="N177" t="s">
        <v>157</v>
      </c>
      <c r="O177" t="s">
        <v>606</v>
      </c>
    </row>
    <row r="178" spans="1:15" x14ac:dyDescent="0.3">
      <c r="A178" t="s">
        <v>607</v>
      </c>
      <c r="B178" t="s">
        <v>28</v>
      </c>
      <c r="C178" t="s">
        <v>43</v>
      </c>
      <c r="D178" t="s">
        <v>29</v>
      </c>
      <c r="E178" t="s">
        <v>69</v>
      </c>
      <c r="F178" t="s">
        <v>608</v>
      </c>
      <c r="G178" t="s">
        <v>541</v>
      </c>
      <c r="H178">
        <v>7.2</v>
      </c>
      <c r="I178">
        <v>4</v>
      </c>
      <c r="J178" t="s">
        <v>33</v>
      </c>
      <c r="K178" t="s">
        <v>23</v>
      </c>
      <c r="L178" t="s">
        <v>24</v>
      </c>
      <c r="M178">
        <v>0</v>
      </c>
      <c r="O178" t="s">
        <v>609</v>
      </c>
    </row>
    <row r="179" spans="1:15" x14ac:dyDescent="0.3">
      <c r="A179" t="s">
        <v>610</v>
      </c>
      <c r="B179" t="s">
        <v>80</v>
      </c>
      <c r="C179" t="s">
        <v>17</v>
      </c>
      <c r="D179" t="s">
        <v>18</v>
      </c>
      <c r="E179" t="s">
        <v>107</v>
      </c>
      <c r="F179" t="s">
        <v>412</v>
      </c>
      <c r="G179" t="s">
        <v>611</v>
      </c>
      <c r="H179">
        <v>6.7</v>
      </c>
      <c r="I179">
        <v>1</v>
      </c>
      <c r="J179" t="s">
        <v>33</v>
      </c>
      <c r="K179" t="s">
        <v>23</v>
      </c>
      <c r="L179" t="s">
        <v>41</v>
      </c>
      <c r="M179">
        <v>0</v>
      </c>
      <c r="N179" t="s">
        <v>157</v>
      </c>
      <c r="O179" t="s">
        <v>560</v>
      </c>
    </row>
    <row r="180" spans="1:15" x14ac:dyDescent="0.3">
      <c r="A180" t="s">
        <v>612</v>
      </c>
      <c r="B180" t="s">
        <v>80</v>
      </c>
      <c r="C180" t="s">
        <v>17</v>
      </c>
      <c r="D180" t="s">
        <v>29</v>
      </c>
      <c r="E180" t="s">
        <v>146</v>
      </c>
      <c r="F180" t="s">
        <v>613</v>
      </c>
      <c r="G180" t="s">
        <v>614</v>
      </c>
      <c r="H180">
        <v>6.2</v>
      </c>
      <c r="I180">
        <v>4</v>
      </c>
      <c r="K180" t="s">
        <v>23</v>
      </c>
      <c r="L180" t="s">
        <v>41</v>
      </c>
      <c r="M180">
        <v>0</v>
      </c>
      <c r="N180" t="s">
        <v>35</v>
      </c>
      <c r="O180" t="s">
        <v>558</v>
      </c>
    </row>
    <row r="181" spans="1:15" x14ac:dyDescent="0.3">
      <c r="A181" t="s">
        <v>615</v>
      </c>
      <c r="B181" t="s">
        <v>16</v>
      </c>
      <c r="C181" t="s">
        <v>150</v>
      </c>
      <c r="D181" t="s">
        <v>18</v>
      </c>
      <c r="E181" t="s">
        <v>38</v>
      </c>
      <c r="F181" t="s">
        <v>616</v>
      </c>
      <c r="G181" t="s">
        <v>188</v>
      </c>
      <c r="H181">
        <v>9.3000000000000007</v>
      </c>
      <c r="I181">
        <v>2</v>
      </c>
      <c r="J181" t="s">
        <v>22</v>
      </c>
      <c r="K181" t="s">
        <v>23</v>
      </c>
      <c r="L181" t="s">
        <v>77</v>
      </c>
      <c r="M181">
        <v>1</v>
      </c>
      <c r="N181" t="s">
        <v>35</v>
      </c>
      <c r="O181" t="s">
        <v>617</v>
      </c>
    </row>
    <row r="182" spans="1:15" x14ac:dyDescent="0.3">
      <c r="A182" t="s">
        <v>618</v>
      </c>
      <c r="B182" t="s">
        <v>28</v>
      </c>
      <c r="C182" t="s">
        <v>55</v>
      </c>
      <c r="D182" t="s">
        <v>387</v>
      </c>
      <c r="E182" t="s">
        <v>56</v>
      </c>
      <c r="F182" t="s">
        <v>619</v>
      </c>
      <c r="G182" t="s">
        <v>225</v>
      </c>
      <c r="H182">
        <v>6.6</v>
      </c>
      <c r="I182">
        <v>2</v>
      </c>
      <c r="J182" t="s">
        <v>22</v>
      </c>
      <c r="K182" t="s">
        <v>23</v>
      </c>
      <c r="L182" t="s">
        <v>24</v>
      </c>
      <c r="M182">
        <v>0</v>
      </c>
      <c r="O182" t="s">
        <v>620</v>
      </c>
    </row>
    <row r="183" spans="1:15" x14ac:dyDescent="0.3">
      <c r="A183" t="s">
        <v>621</v>
      </c>
      <c r="B183" t="s">
        <v>86</v>
      </c>
      <c r="C183" t="s">
        <v>17</v>
      </c>
      <c r="D183" t="s">
        <v>18</v>
      </c>
      <c r="E183" t="s">
        <v>187</v>
      </c>
      <c r="F183" t="s">
        <v>418</v>
      </c>
      <c r="G183" t="s">
        <v>622</v>
      </c>
      <c r="H183">
        <v>6.4</v>
      </c>
      <c r="I183">
        <v>2</v>
      </c>
      <c r="J183" t="s">
        <v>22</v>
      </c>
      <c r="K183" t="s">
        <v>23</v>
      </c>
      <c r="L183" t="s">
        <v>34</v>
      </c>
      <c r="M183">
        <v>1</v>
      </c>
      <c r="N183" t="s">
        <v>83</v>
      </c>
      <c r="O183" t="s">
        <v>623</v>
      </c>
    </row>
    <row r="184" spans="1:15" x14ac:dyDescent="0.3">
      <c r="A184" t="s">
        <v>624</v>
      </c>
      <c r="B184" t="s">
        <v>16</v>
      </c>
      <c r="C184" t="s">
        <v>55</v>
      </c>
      <c r="D184" t="s">
        <v>18</v>
      </c>
      <c r="E184" t="s">
        <v>107</v>
      </c>
      <c r="F184" t="s">
        <v>198</v>
      </c>
      <c r="G184" t="s">
        <v>625</v>
      </c>
      <c r="H184">
        <v>6.2</v>
      </c>
      <c r="I184">
        <v>4</v>
      </c>
      <c r="J184" t="s">
        <v>66</v>
      </c>
      <c r="K184" t="s">
        <v>23</v>
      </c>
      <c r="L184" t="s">
        <v>34</v>
      </c>
      <c r="M184">
        <v>1</v>
      </c>
      <c r="N184" t="s">
        <v>25</v>
      </c>
      <c r="O184" t="s">
        <v>626</v>
      </c>
    </row>
    <row r="185" spans="1:15" x14ac:dyDescent="0.3">
      <c r="A185" t="s">
        <v>514</v>
      </c>
      <c r="B185" t="s">
        <v>16</v>
      </c>
      <c r="C185" t="s">
        <v>43</v>
      </c>
      <c r="D185" t="s">
        <v>18</v>
      </c>
      <c r="E185" t="s">
        <v>56</v>
      </c>
      <c r="F185" t="s">
        <v>174</v>
      </c>
      <c r="G185" t="s">
        <v>261</v>
      </c>
      <c r="H185">
        <v>8.1</v>
      </c>
      <c r="I185">
        <v>2</v>
      </c>
      <c r="K185" t="s">
        <v>23</v>
      </c>
      <c r="L185" t="s">
        <v>34</v>
      </c>
      <c r="M185">
        <v>0</v>
      </c>
      <c r="N185" t="s">
        <v>35</v>
      </c>
      <c r="O185" t="s">
        <v>515</v>
      </c>
    </row>
    <row r="186" spans="1:15" x14ac:dyDescent="0.3">
      <c r="A186" t="s">
        <v>627</v>
      </c>
      <c r="B186" t="s">
        <v>28</v>
      </c>
      <c r="C186" t="s">
        <v>210</v>
      </c>
      <c r="D186" t="s">
        <v>29</v>
      </c>
      <c r="E186" t="s">
        <v>69</v>
      </c>
      <c r="F186" t="s">
        <v>266</v>
      </c>
      <c r="G186" t="s">
        <v>161</v>
      </c>
      <c r="H186">
        <v>7.3</v>
      </c>
      <c r="I186">
        <v>1</v>
      </c>
      <c r="J186" t="s">
        <v>66</v>
      </c>
      <c r="K186" t="s">
        <v>23</v>
      </c>
      <c r="L186" t="s">
        <v>24</v>
      </c>
      <c r="M186">
        <v>1</v>
      </c>
      <c r="N186" t="s">
        <v>35</v>
      </c>
      <c r="O186" t="s">
        <v>628</v>
      </c>
    </row>
    <row r="187" spans="1:15" x14ac:dyDescent="0.3">
      <c r="A187" t="s">
        <v>629</v>
      </c>
      <c r="B187" t="s">
        <v>363</v>
      </c>
      <c r="C187" t="s">
        <v>55</v>
      </c>
      <c r="D187" t="s">
        <v>18</v>
      </c>
      <c r="E187" t="s">
        <v>56</v>
      </c>
      <c r="F187" t="s">
        <v>20</v>
      </c>
      <c r="G187" t="s">
        <v>630</v>
      </c>
      <c r="H187">
        <v>7.6</v>
      </c>
      <c r="I187">
        <v>2</v>
      </c>
      <c r="J187" t="s">
        <v>22</v>
      </c>
      <c r="K187" t="s">
        <v>23</v>
      </c>
      <c r="L187" t="s">
        <v>24</v>
      </c>
      <c r="M187">
        <v>1</v>
      </c>
      <c r="N187" t="s">
        <v>25</v>
      </c>
      <c r="O187" t="s">
        <v>26</v>
      </c>
    </row>
    <row r="188" spans="1:15" x14ac:dyDescent="0.3">
      <c r="A188" t="s">
        <v>631</v>
      </c>
      <c r="B188" t="s">
        <v>28</v>
      </c>
      <c r="C188" t="s">
        <v>150</v>
      </c>
      <c r="D188" t="s">
        <v>29</v>
      </c>
      <c r="E188" t="s">
        <v>146</v>
      </c>
      <c r="F188" t="s">
        <v>193</v>
      </c>
      <c r="G188" t="s">
        <v>632</v>
      </c>
      <c r="H188">
        <v>6.4</v>
      </c>
      <c r="I188">
        <v>0</v>
      </c>
      <c r="J188" t="s">
        <v>33</v>
      </c>
      <c r="K188" t="s">
        <v>23</v>
      </c>
      <c r="L188" t="s">
        <v>24</v>
      </c>
      <c r="M188">
        <v>0</v>
      </c>
      <c r="N188" t="s">
        <v>83</v>
      </c>
      <c r="O188" t="s">
        <v>282</v>
      </c>
    </row>
    <row r="189" spans="1:15" x14ac:dyDescent="0.3">
      <c r="A189" t="s">
        <v>633</v>
      </c>
      <c r="B189" t="s">
        <v>16</v>
      </c>
      <c r="C189" t="s">
        <v>17</v>
      </c>
      <c r="D189" t="s">
        <v>29</v>
      </c>
      <c r="E189" t="s">
        <v>56</v>
      </c>
      <c r="F189" t="s">
        <v>634</v>
      </c>
      <c r="G189" t="s">
        <v>635</v>
      </c>
      <c r="H189">
        <v>9.5</v>
      </c>
      <c r="I189">
        <v>3</v>
      </c>
      <c r="J189" t="s">
        <v>22</v>
      </c>
      <c r="K189" t="s">
        <v>23</v>
      </c>
      <c r="L189" t="s">
        <v>41</v>
      </c>
      <c r="M189">
        <v>0</v>
      </c>
      <c r="O189" t="s">
        <v>563</v>
      </c>
    </row>
    <row r="190" spans="1:15" x14ac:dyDescent="0.3">
      <c r="A190" t="s">
        <v>636</v>
      </c>
      <c r="B190" t="s">
        <v>28</v>
      </c>
      <c r="C190" t="s">
        <v>17</v>
      </c>
      <c r="D190" t="s">
        <v>18</v>
      </c>
      <c r="E190" t="s">
        <v>56</v>
      </c>
      <c r="F190" t="s">
        <v>99</v>
      </c>
      <c r="G190" t="s">
        <v>548</v>
      </c>
      <c r="I190">
        <v>6</v>
      </c>
      <c r="J190" t="s">
        <v>66</v>
      </c>
      <c r="K190" t="s">
        <v>23</v>
      </c>
      <c r="L190" t="s">
        <v>41</v>
      </c>
      <c r="M190">
        <v>1</v>
      </c>
      <c r="N190" t="s">
        <v>83</v>
      </c>
      <c r="O190" t="s">
        <v>292</v>
      </c>
    </row>
    <row r="191" spans="1:15" x14ac:dyDescent="0.3">
      <c r="A191" t="s">
        <v>637</v>
      </c>
      <c r="B191" t="s">
        <v>86</v>
      </c>
      <c r="C191" t="s">
        <v>55</v>
      </c>
      <c r="D191" t="s">
        <v>18</v>
      </c>
      <c r="E191" t="s">
        <v>74</v>
      </c>
      <c r="F191" t="s">
        <v>638</v>
      </c>
      <c r="G191" t="s">
        <v>639</v>
      </c>
      <c r="H191">
        <v>6.3</v>
      </c>
      <c r="I191">
        <v>1</v>
      </c>
      <c r="J191" t="s">
        <v>22</v>
      </c>
      <c r="K191" t="s">
        <v>23</v>
      </c>
      <c r="L191" t="s">
        <v>34</v>
      </c>
      <c r="M191">
        <v>2</v>
      </c>
      <c r="N191" t="s">
        <v>35</v>
      </c>
      <c r="O191" t="s">
        <v>640</v>
      </c>
    </row>
    <row r="192" spans="1:15" x14ac:dyDescent="0.3">
      <c r="A192" t="s">
        <v>641</v>
      </c>
      <c r="B192" t="s">
        <v>28</v>
      </c>
      <c r="C192" t="s">
        <v>43</v>
      </c>
      <c r="D192" t="s">
        <v>18</v>
      </c>
      <c r="E192" t="s">
        <v>56</v>
      </c>
      <c r="F192" t="s">
        <v>642</v>
      </c>
      <c r="G192" t="s">
        <v>643</v>
      </c>
      <c r="H192">
        <v>7.6</v>
      </c>
      <c r="I192">
        <v>3</v>
      </c>
      <c r="J192" t="s">
        <v>644</v>
      </c>
      <c r="K192" t="s">
        <v>51</v>
      </c>
      <c r="L192" t="s">
        <v>60</v>
      </c>
      <c r="M192">
        <v>0</v>
      </c>
      <c r="N192" t="s">
        <v>83</v>
      </c>
      <c r="O192" t="s">
        <v>645</v>
      </c>
    </row>
    <row r="193" spans="1:15" x14ac:dyDescent="0.3">
      <c r="A193" t="s">
        <v>646</v>
      </c>
      <c r="B193" t="s">
        <v>48</v>
      </c>
      <c r="C193" t="s">
        <v>17</v>
      </c>
      <c r="D193" t="s">
        <v>29</v>
      </c>
      <c r="E193" t="s">
        <v>187</v>
      </c>
      <c r="F193" t="s">
        <v>647</v>
      </c>
      <c r="G193" t="s">
        <v>193</v>
      </c>
      <c r="H193">
        <v>5</v>
      </c>
      <c r="I193">
        <v>3</v>
      </c>
      <c r="J193" t="s">
        <v>644</v>
      </c>
      <c r="K193" t="s">
        <v>23</v>
      </c>
      <c r="L193" t="s">
        <v>41</v>
      </c>
      <c r="M193">
        <v>1</v>
      </c>
      <c r="N193" t="s">
        <v>25</v>
      </c>
      <c r="O193" t="s">
        <v>648</v>
      </c>
    </row>
    <row r="194" spans="1:15" x14ac:dyDescent="0.3">
      <c r="A194" t="s">
        <v>649</v>
      </c>
      <c r="B194" t="s">
        <v>86</v>
      </c>
      <c r="C194" t="s">
        <v>17</v>
      </c>
      <c r="D194" t="s">
        <v>18</v>
      </c>
      <c r="E194" t="s">
        <v>56</v>
      </c>
      <c r="F194" t="s">
        <v>537</v>
      </c>
      <c r="G194" t="s">
        <v>369</v>
      </c>
      <c r="H194">
        <v>6.1</v>
      </c>
      <c r="I194">
        <v>6</v>
      </c>
      <c r="J194" t="s">
        <v>33</v>
      </c>
      <c r="K194" t="s">
        <v>23</v>
      </c>
      <c r="L194" t="s">
        <v>34</v>
      </c>
      <c r="M194">
        <v>1</v>
      </c>
      <c r="N194" t="s">
        <v>25</v>
      </c>
      <c r="O194" t="s">
        <v>606</v>
      </c>
    </row>
    <row r="195" spans="1:15" x14ac:dyDescent="0.3">
      <c r="A195" t="s">
        <v>650</v>
      </c>
      <c r="B195" t="s">
        <v>16</v>
      </c>
      <c r="C195" t="s">
        <v>210</v>
      </c>
      <c r="D195" t="s">
        <v>18</v>
      </c>
      <c r="E195" t="s">
        <v>146</v>
      </c>
      <c r="F195" t="s">
        <v>651</v>
      </c>
      <c r="G195" t="s">
        <v>652</v>
      </c>
      <c r="I195">
        <v>1</v>
      </c>
      <c r="J195" t="s">
        <v>59</v>
      </c>
      <c r="K195" t="s">
        <v>51</v>
      </c>
      <c r="L195" t="s">
        <v>24</v>
      </c>
      <c r="M195">
        <v>0</v>
      </c>
      <c r="N195" t="s">
        <v>25</v>
      </c>
      <c r="O195" t="s">
        <v>653</v>
      </c>
    </row>
    <row r="196" spans="1:15" x14ac:dyDescent="0.3">
      <c r="A196" t="s">
        <v>654</v>
      </c>
      <c r="B196" t="s">
        <v>16</v>
      </c>
      <c r="C196" t="s">
        <v>55</v>
      </c>
      <c r="D196" t="s">
        <v>471</v>
      </c>
      <c r="E196" t="s">
        <v>19</v>
      </c>
      <c r="F196" t="s">
        <v>523</v>
      </c>
      <c r="G196" t="s">
        <v>254</v>
      </c>
      <c r="H196">
        <v>4.2</v>
      </c>
      <c r="I196">
        <v>7</v>
      </c>
      <c r="J196" t="s">
        <v>66</v>
      </c>
      <c r="K196" t="s">
        <v>23</v>
      </c>
      <c r="L196" t="s">
        <v>41</v>
      </c>
      <c r="M196">
        <v>0</v>
      </c>
      <c r="N196" t="s">
        <v>35</v>
      </c>
      <c r="O196" t="s">
        <v>407</v>
      </c>
    </row>
    <row r="197" spans="1:15" x14ac:dyDescent="0.3">
      <c r="A197" t="s">
        <v>655</v>
      </c>
      <c r="B197" t="s">
        <v>86</v>
      </c>
      <c r="C197" t="s">
        <v>17</v>
      </c>
      <c r="D197" t="s">
        <v>29</v>
      </c>
      <c r="E197" t="s">
        <v>69</v>
      </c>
      <c r="G197" t="s">
        <v>656</v>
      </c>
      <c r="H197">
        <v>6.9</v>
      </c>
      <c r="I197">
        <v>2</v>
      </c>
      <c r="J197" t="s">
        <v>66</v>
      </c>
      <c r="K197" t="s">
        <v>23</v>
      </c>
      <c r="L197" t="s">
        <v>24</v>
      </c>
      <c r="M197">
        <v>0</v>
      </c>
      <c r="N197" t="s">
        <v>83</v>
      </c>
    </row>
    <row r="198" spans="1:15" x14ac:dyDescent="0.3">
      <c r="A198" t="s">
        <v>657</v>
      </c>
      <c r="B198" t="s">
        <v>16</v>
      </c>
      <c r="C198" t="s">
        <v>43</v>
      </c>
      <c r="D198" t="s">
        <v>29</v>
      </c>
      <c r="E198" t="s">
        <v>69</v>
      </c>
      <c r="F198" t="s">
        <v>193</v>
      </c>
      <c r="G198" t="s">
        <v>658</v>
      </c>
      <c r="H198">
        <v>7</v>
      </c>
      <c r="I198">
        <v>2</v>
      </c>
      <c r="J198" t="s">
        <v>22</v>
      </c>
      <c r="K198" t="s">
        <v>23</v>
      </c>
      <c r="L198" t="s">
        <v>60</v>
      </c>
      <c r="M198">
        <v>0</v>
      </c>
      <c r="O198" t="s">
        <v>416</v>
      </c>
    </row>
    <row r="199" spans="1:15" x14ac:dyDescent="0.3">
      <c r="A199" t="s">
        <v>659</v>
      </c>
      <c r="B199" t="s">
        <v>16</v>
      </c>
      <c r="C199" t="s">
        <v>17</v>
      </c>
      <c r="D199" t="s">
        <v>18</v>
      </c>
      <c r="E199" t="s">
        <v>69</v>
      </c>
      <c r="F199" t="s">
        <v>660</v>
      </c>
      <c r="G199" t="s">
        <v>661</v>
      </c>
      <c r="H199">
        <v>8</v>
      </c>
      <c r="I199">
        <v>5</v>
      </c>
      <c r="J199" t="s">
        <v>22</v>
      </c>
      <c r="K199" t="s">
        <v>23</v>
      </c>
      <c r="L199" t="s">
        <v>126</v>
      </c>
      <c r="M199">
        <v>1</v>
      </c>
      <c r="N199" t="s">
        <v>25</v>
      </c>
      <c r="O199" t="s">
        <v>662</v>
      </c>
    </row>
    <row r="200" spans="1:15" x14ac:dyDescent="0.3">
      <c r="A200" t="s">
        <v>663</v>
      </c>
      <c r="B200" t="s">
        <v>28</v>
      </c>
      <c r="C200" t="s">
        <v>17</v>
      </c>
      <c r="D200" t="s">
        <v>18</v>
      </c>
      <c r="E200" t="s">
        <v>187</v>
      </c>
      <c r="F200" t="s">
        <v>664</v>
      </c>
      <c r="H200">
        <v>7.5</v>
      </c>
      <c r="I200">
        <v>3</v>
      </c>
      <c r="J200" t="s">
        <v>33</v>
      </c>
      <c r="K200" t="s">
        <v>23</v>
      </c>
      <c r="L200" t="s">
        <v>41</v>
      </c>
      <c r="M200">
        <v>1</v>
      </c>
      <c r="N200" t="s">
        <v>238</v>
      </c>
      <c r="O200" t="s">
        <v>563</v>
      </c>
    </row>
    <row r="201" spans="1:15" x14ac:dyDescent="0.3">
      <c r="A201" t="s">
        <v>665</v>
      </c>
      <c r="B201" t="s">
        <v>48</v>
      </c>
      <c r="C201" t="s">
        <v>43</v>
      </c>
      <c r="D201" t="s">
        <v>29</v>
      </c>
      <c r="E201" t="s">
        <v>74</v>
      </c>
      <c r="F201" t="s">
        <v>537</v>
      </c>
      <c r="G201" t="s">
        <v>82</v>
      </c>
      <c r="H201">
        <v>7.3</v>
      </c>
      <c r="I201">
        <v>6</v>
      </c>
      <c r="J201" t="s">
        <v>22</v>
      </c>
      <c r="K201" t="s">
        <v>23</v>
      </c>
      <c r="L201" t="s">
        <v>60</v>
      </c>
      <c r="M201">
        <v>2</v>
      </c>
      <c r="N201" t="s">
        <v>52</v>
      </c>
      <c r="O201" t="s">
        <v>139</v>
      </c>
    </row>
    <row r="202" spans="1:15" x14ac:dyDescent="0.3">
      <c r="A202" t="s">
        <v>666</v>
      </c>
      <c r="B202" t="s">
        <v>86</v>
      </c>
      <c r="C202" t="s">
        <v>150</v>
      </c>
      <c r="D202" t="s">
        <v>29</v>
      </c>
      <c r="E202" t="s">
        <v>74</v>
      </c>
      <c r="F202" t="s">
        <v>99</v>
      </c>
      <c r="G202" t="s">
        <v>667</v>
      </c>
      <c r="H202">
        <v>7</v>
      </c>
      <c r="I202">
        <v>5</v>
      </c>
      <c r="J202" t="s">
        <v>33</v>
      </c>
      <c r="K202" t="s">
        <v>23</v>
      </c>
      <c r="L202" t="s">
        <v>24</v>
      </c>
      <c r="M202">
        <v>0</v>
      </c>
      <c r="N202" t="s">
        <v>35</v>
      </c>
      <c r="O202" t="s">
        <v>330</v>
      </c>
    </row>
    <row r="203" spans="1:15" x14ac:dyDescent="0.3">
      <c r="A203" t="s">
        <v>668</v>
      </c>
      <c r="B203" t="s">
        <v>86</v>
      </c>
      <c r="C203" t="s">
        <v>17</v>
      </c>
      <c r="D203" t="s">
        <v>29</v>
      </c>
      <c r="E203" t="s">
        <v>69</v>
      </c>
      <c r="G203" t="s">
        <v>669</v>
      </c>
      <c r="H203">
        <v>5.9</v>
      </c>
      <c r="I203">
        <v>0</v>
      </c>
      <c r="J203" t="s">
        <v>33</v>
      </c>
      <c r="K203" t="s">
        <v>23</v>
      </c>
      <c r="L203" t="s">
        <v>34</v>
      </c>
      <c r="M203">
        <v>0</v>
      </c>
      <c r="N203" t="s">
        <v>35</v>
      </c>
      <c r="O203" t="s">
        <v>104</v>
      </c>
    </row>
    <row r="204" spans="1:15" x14ac:dyDescent="0.3">
      <c r="A204" t="s">
        <v>670</v>
      </c>
      <c r="B204" t="s">
        <v>16</v>
      </c>
      <c r="C204" t="s">
        <v>150</v>
      </c>
      <c r="D204" t="s">
        <v>18</v>
      </c>
      <c r="E204" t="s">
        <v>107</v>
      </c>
      <c r="F204" t="s">
        <v>671</v>
      </c>
      <c r="G204" t="s">
        <v>672</v>
      </c>
      <c r="H204">
        <v>5.0999999999999996</v>
      </c>
      <c r="I204">
        <v>4</v>
      </c>
      <c r="J204" t="s">
        <v>59</v>
      </c>
      <c r="K204" t="s">
        <v>51</v>
      </c>
      <c r="L204" t="s">
        <v>24</v>
      </c>
      <c r="M204">
        <v>1</v>
      </c>
      <c r="N204" t="s">
        <v>25</v>
      </c>
      <c r="O204" t="s">
        <v>673</v>
      </c>
    </row>
    <row r="205" spans="1:15" x14ac:dyDescent="0.3">
      <c r="A205" t="s">
        <v>674</v>
      </c>
      <c r="B205" t="s">
        <v>48</v>
      </c>
      <c r="C205" t="s">
        <v>17</v>
      </c>
      <c r="D205" t="s">
        <v>18</v>
      </c>
      <c r="E205" t="s">
        <v>69</v>
      </c>
      <c r="F205" t="s">
        <v>95</v>
      </c>
      <c r="G205" t="s">
        <v>323</v>
      </c>
      <c r="H205">
        <v>7.5</v>
      </c>
      <c r="I205">
        <v>0</v>
      </c>
      <c r="J205" t="s">
        <v>22</v>
      </c>
      <c r="K205" t="s">
        <v>51</v>
      </c>
      <c r="L205" t="s">
        <v>41</v>
      </c>
      <c r="M205">
        <v>2</v>
      </c>
      <c r="N205" t="s">
        <v>25</v>
      </c>
      <c r="O205" t="s">
        <v>675</v>
      </c>
    </row>
    <row r="206" spans="1:15" x14ac:dyDescent="0.3">
      <c r="A206" t="s">
        <v>676</v>
      </c>
      <c r="B206" t="s">
        <v>80</v>
      </c>
      <c r="C206" t="s">
        <v>210</v>
      </c>
      <c r="D206" t="s">
        <v>18</v>
      </c>
      <c r="E206" t="s">
        <v>66</v>
      </c>
      <c r="F206" t="s">
        <v>347</v>
      </c>
      <c r="G206" t="s">
        <v>677</v>
      </c>
      <c r="H206">
        <v>7.1</v>
      </c>
      <c r="I206">
        <v>4</v>
      </c>
      <c r="J206" t="s">
        <v>22</v>
      </c>
      <c r="K206" t="s">
        <v>23</v>
      </c>
      <c r="L206" t="s">
        <v>60</v>
      </c>
      <c r="M206">
        <v>3</v>
      </c>
      <c r="N206" t="s">
        <v>35</v>
      </c>
      <c r="O206" t="s">
        <v>590</v>
      </c>
    </row>
    <row r="207" spans="1:15" x14ac:dyDescent="0.3">
      <c r="A207" t="s">
        <v>678</v>
      </c>
      <c r="B207" t="s">
        <v>16</v>
      </c>
      <c r="C207" t="s">
        <v>43</v>
      </c>
      <c r="D207" t="s">
        <v>29</v>
      </c>
      <c r="E207" t="s">
        <v>146</v>
      </c>
      <c r="F207" t="s">
        <v>679</v>
      </c>
      <c r="G207" t="s">
        <v>680</v>
      </c>
      <c r="H207">
        <v>5.8</v>
      </c>
      <c r="I207">
        <v>3</v>
      </c>
      <c r="J207" t="s">
        <v>59</v>
      </c>
      <c r="K207" t="s">
        <v>23</v>
      </c>
      <c r="L207" t="s">
        <v>41</v>
      </c>
      <c r="M207">
        <v>0</v>
      </c>
      <c r="N207" t="s">
        <v>238</v>
      </c>
      <c r="O207" t="s">
        <v>474</v>
      </c>
    </row>
    <row r="208" spans="1:15" x14ac:dyDescent="0.3">
      <c r="A208" t="s">
        <v>681</v>
      </c>
      <c r="B208" t="s">
        <v>48</v>
      </c>
      <c r="C208" t="s">
        <v>210</v>
      </c>
      <c r="D208" t="s">
        <v>29</v>
      </c>
      <c r="E208" t="s">
        <v>19</v>
      </c>
      <c r="F208" t="s">
        <v>682</v>
      </c>
      <c r="G208" t="s">
        <v>635</v>
      </c>
      <c r="H208">
        <v>5.9</v>
      </c>
      <c r="I208">
        <v>6</v>
      </c>
      <c r="J208" t="s">
        <v>33</v>
      </c>
      <c r="K208" t="s">
        <v>23</v>
      </c>
      <c r="L208" t="s">
        <v>24</v>
      </c>
      <c r="M208">
        <v>0</v>
      </c>
      <c r="N208" t="s">
        <v>35</v>
      </c>
      <c r="O208" t="s">
        <v>683</v>
      </c>
    </row>
    <row r="209" spans="1:15" x14ac:dyDescent="0.3">
      <c r="A209" t="s">
        <v>684</v>
      </c>
      <c r="B209" t="s">
        <v>80</v>
      </c>
      <c r="C209" t="s">
        <v>685</v>
      </c>
      <c r="D209" t="s">
        <v>18</v>
      </c>
      <c r="E209" t="s">
        <v>38</v>
      </c>
      <c r="F209" t="s">
        <v>664</v>
      </c>
      <c r="G209" t="s">
        <v>152</v>
      </c>
      <c r="H209">
        <v>7.1</v>
      </c>
      <c r="I209">
        <v>4</v>
      </c>
      <c r="J209" t="s">
        <v>33</v>
      </c>
      <c r="K209" t="s">
        <v>23</v>
      </c>
      <c r="L209" t="s">
        <v>77</v>
      </c>
      <c r="M209">
        <v>0</v>
      </c>
      <c r="O209" t="s">
        <v>686</v>
      </c>
    </row>
    <row r="210" spans="1:15" x14ac:dyDescent="0.3">
      <c r="A210" t="s">
        <v>687</v>
      </c>
      <c r="B210" t="s">
        <v>80</v>
      </c>
      <c r="C210" t="s">
        <v>17</v>
      </c>
      <c r="D210" t="s">
        <v>18</v>
      </c>
      <c r="E210" t="s">
        <v>146</v>
      </c>
      <c r="F210" t="s">
        <v>323</v>
      </c>
      <c r="G210" t="s">
        <v>688</v>
      </c>
      <c r="H210">
        <v>5.4</v>
      </c>
      <c r="I210">
        <v>0</v>
      </c>
      <c r="J210" t="s">
        <v>22</v>
      </c>
      <c r="K210" t="s">
        <v>51</v>
      </c>
      <c r="L210" t="s">
        <v>60</v>
      </c>
      <c r="M210">
        <v>1</v>
      </c>
      <c r="N210" t="s">
        <v>35</v>
      </c>
      <c r="O210" t="s">
        <v>689</v>
      </c>
    </row>
    <row r="211" spans="1:15" x14ac:dyDescent="0.3">
      <c r="A211" t="s">
        <v>690</v>
      </c>
      <c r="B211" t="s">
        <v>86</v>
      </c>
      <c r="C211" t="s">
        <v>17</v>
      </c>
      <c r="D211" t="s">
        <v>29</v>
      </c>
      <c r="E211" t="s">
        <v>69</v>
      </c>
      <c r="F211" t="s">
        <v>691</v>
      </c>
      <c r="G211" t="s">
        <v>465</v>
      </c>
      <c r="H211">
        <v>4.5</v>
      </c>
      <c r="I211">
        <v>4</v>
      </c>
      <c r="J211" t="s">
        <v>59</v>
      </c>
      <c r="K211" t="s">
        <v>23</v>
      </c>
      <c r="L211" t="s">
        <v>60</v>
      </c>
      <c r="M211">
        <v>0</v>
      </c>
      <c r="N211" t="s">
        <v>83</v>
      </c>
      <c r="O211" t="s">
        <v>234</v>
      </c>
    </row>
    <row r="212" spans="1:15" x14ac:dyDescent="0.3">
      <c r="A212" t="s">
        <v>692</v>
      </c>
      <c r="B212" t="s">
        <v>86</v>
      </c>
      <c r="C212" t="s">
        <v>210</v>
      </c>
      <c r="D212" t="s">
        <v>18</v>
      </c>
      <c r="E212" t="s">
        <v>146</v>
      </c>
      <c r="F212" t="s">
        <v>198</v>
      </c>
      <c r="G212" t="s">
        <v>693</v>
      </c>
      <c r="H212">
        <v>6.5</v>
      </c>
      <c r="I212">
        <v>2</v>
      </c>
      <c r="J212" t="s">
        <v>33</v>
      </c>
      <c r="K212" t="s">
        <v>23</v>
      </c>
      <c r="L212" t="s">
        <v>24</v>
      </c>
      <c r="M212">
        <v>0</v>
      </c>
      <c r="N212" t="s">
        <v>52</v>
      </c>
      <c r="O212" t="s">
        <v>694</v>
      </c>
    </row>
    <row r="213" spans="1:15" x14ac:dyDescent="0.3">
      <c r="A213" t="s">
        <v>695</v>
      </c>
      <c r="B213" t="s">
        <v>80</v>
      </c>
      <c r="C213" t="s">
        <v>55</v>
      </c>
      <c r="D213" t="s">
        <v>18</v>
      </c>
      <c r="E213" t="s">
        <v>146</v>
      </c>
      <c r="F213" t="s">
        <v>286</v>
      </c>
      <c r="G213" t="s">
        <v>696</v>
      </c>
      <c r="H213">
        <v>5.5</v>
      </c>
      <c r="I213">
        <v>3</v>
      </c>
      <c r="J213" t="s">
        <v>33</v>
      </c>
      <c r="K213" t="s">
        <v>23</v>
      </c>
      <c r="L213" t="s">
        <v>41</v>
      </c>
      <c r="M213">
        <v>3</v>
      </c>
      <c r="N213" t="s">
        <v>35</v>
      </c>
      <c r="O213" t="s">
        <v>697</v>
      </c>
    </row>
    <row r="214" spans="1:15" x14ac:dyDescent="0.3">
      <c r="A214" t="s">
        <v>698</v>
      </c>
      <c r="B214" t="s">
        <v>86</v>
      </c>
      <c r="C214" t="s">
        <v>17</v>
      </c>
      <c r="D214" t="s">
        <v>18</v>
      </c>
      <c r="E214" t="s">
        <v>69</v>
      </c>
      <c r="F214" t="s">
        <v>556</v>
      </c>
      <c r="G214" t="s">
        <v>699</v>
      </c>
      <c r="H214">
        <v>7.1</v>
      </c>
      <c r="I214">
        <v>3</v>
      </c>
      <c r="J214" t="s">
        <v>33</v>
      </c>
      <c r="K214" t="s">
        <v>23</v>
      </c>
      <c r="L214" t="s">
        <v>41</v>
      </c>
      <c r="M214">
        <v>0</v>
      </c>
      <c r="N214" t="s">
        <v>61</v>
      </c>
      <c r="O214" t="s">
        <v>700</v>
      </c>
    </row>
    <row r="215" spans="1:15" x14ac:dyDescent="0.3">
      <c r="A215" t="s">
        <v>701</v>
      </c>
      <c r="B215" t="s">
        <v>86</v>
      </c>
      <c r="C215" t="s">
        <v>210</v>
      </c>
      <c r="D215" t="s">
        <v>18</v>
      </c>
      <c r="E215" t="s">
        <v>187</v>
      </c>
      <c r="G215" t="s">
        <v>173</v>
      </c>
      <c r="H215">
        <v>5.4</v>
      </c>
      <c r="I215">
        <v>2</v>
      </c>
      <c r="J215" t="s">
        <v>59</v>
      </c>
      <c r="K215" t="s">
        <v>23</v>
      </c>
      <c r="L215" t="s">
        <v>34</v>
      </c>
      <c r="M215">
        <v>0</v>
      </c>
      <c r="N215" t="s">
        <v>35</v>
      </c>
      <c r="O215" t="s">
        <v>521</v>
      </c>
    </row>
    <row r="216" spans="1:15" x14ac:dyDescent="0.3">
      <c r="A216" t="s">
        <v>702</v>
      </c>
      <c r="B216" t="s">
        <v>16</v>
      </c>
      <c r="C216" t="s">
        <v>129</v>
      </c>
      <c r="D216" t="s">
        <v>29</v>
      </c>
      <c r="E216" t="s">
        <v>19</v>
      </c>
      <c r="F216" t="s">
        <v>300</v>
      </c>
      <c r="H216">
        <v>7</v>
      </c>
      <c r="I216">
        <v>2</v>
      </c>
      <c r="J216" t="s">
        <v>22</v>
      </c>
      <c r="K216" t="s">
        <v>23</v>
      </c>
      <c r="L216" t="s">
        <v>77</v>
      </c>
      <c r="M216">
        <v>1</v>
      </c>
      <c r="N216" t="s">
        <v>157</v>
      </c>
      <c r="O216" t="s">
        <v>703</v>
      </c>
    </row>
    <row r="217" spans="1:15" x14ac:dyDescent="0.3">
      <c r="A217" t="s">
        <v>704</v>
      </c>
      <c r="B217" t="s">
        <v>48</v>
      </c>
      <c r="C217" t="s">
        <v>210</v>
      </c>
      <c r="D217" t="s">
        <v>18</v>
      </c>
      <c r="E217" t="s">
        <v>19</v>
      </c>
      <c r="F217" t="s">
        <v>311</v>
      </c>
      <c r="G217" t="s">
        <v>336</v>
      </c>
      <c r="H217">
        <v>6.4</v>
      </c>
      <c r="I217">
        <v>4</v>
      </c>
      <c r="J217" t="s">
        <v>66</v>
      </c>
      <c r="K217" t="s">
        <v>23</v>
      </c>
      <c r="L217" t="s">
        <v>41</v>
      </c>
      <c r="M217">
        <v>0</v>
      </c>
      <c r="N217" t="s">
        <v>35</v>
      </c>
      <c r="O217" t="s">
        <v>705</v>
      </c>
    </row>
    <row r="218" spans="1:15" x14ac:dyDescent="0.3">
      <c r="A218" t="s">
        <v>706</v>
      </c>
      <c r="B218" t="s">
        <v>28</v>
      </c>
      <c r="C218" t="s">
        <v>55</v>
      </c>
      <c r="D218" t="s">
        <v>18</v>
      </c>
      <c r="E218" t="s">
        <v>69</v>
      </c>
      <c r="F218" t="s">
        <v>102</v>
      </c>
      <c r="G218" t="s">
        <v>440</v>
      </c>
      <c r="H218">
        <v>5.8</v>
      </c>
      <c r="I218">
        <v>3</v>
      </c>
      <c r="J218" t="s">
        <v>22</v>
      </c>
      <c r="K218" t="s">
        <v>23</v>
      </c>
      <c r="L218" t="s">
        <v>60</v>
      </c>
      <c r="M218">
        <v>2</v>
      </c>
      <c r="N218" t="s">
        <v>157</v>
      </c>
      <c r="O218" t="s">
        <v>707</v>
      </c>
    </row>
    <row r="219" spans="1:15" x14ac:dyDescent="0.3">
      <c r="A219" t="s">
        <v>708</v>
      </c>
      <c r="B219" t="s">
        <v>80</v>
      </c>
      <c r="C219" t="s">
        <v>17</v>
      </c>
      <c r="D219" t="s">
        <v>29</v>
      </c>
      <c r="E219" t="s">
        <v>146</v>
      </c>
      <c r="F219" t="s">
        <v>460</v>
      </c>
      <c r="G219" t="s">
        <v>320</v>
      </c>
      <c r="H219">
        <v>6.9</v>
      </c>
      <c r="I219">
        <v>2</v>
      </c>
      <c r="J219" t="s">
        <v>33</v>
      </c>
      <c r="K219" t="s">
        <v>51</v>
      </c>
      <c r="L219" t="s">
        <v>34</v>
      </c>
      <c r="M219">
        <v>0</v>
      </c>
      <c r="N219" t="s">
        <v>61</v>
      </c>
      <c r="O219" t="s">
        <v>709</v>
      </c>
    </row>
    <row r="220" spans="1:15" x14ac:dyDescent="0.3">
      <c r="A220" t="s">
        <v>710</v>
      </c>
      <c r="B220" t="s">
        <v>86</v>
      </c>
      <c r="C220" t="s">
        <v>17</v>
      </c>
      <c r="D220" t="s">
        <v>29</v>
      </c>
      <c r="E220" t="s">
        <v>69</v>
      </c>
      <c r="F220" t="s">
        <v>460</v>
      </c>
      <c r="G220" t="s">
        <v>711</v>
      </c>
      <c r="H220">
        <v>7.5</v>
      </c>
      <c r="I220">
        <v>2</v>
      </c>
      <c r="J220" t="s">
        <v>22</v>
      </c>
      <c r="K220" t="s">
        <v>23</v>
      </c>
      <c r="L220" t="s">
        <v>24</v>
      </c>
      <c r="M220">
        <v>0</v>
      </c>
      <c r="O220" t="s">
        <v>420</v>
      </c>
    </row>
    <row r="221" spans="1:15" x14ac:dyDescent="0.3">
      <c r="A221" t="s">
        <v>712</v>
      </c>
      <c r="B221" t="s">
        <v>98</v>
      </c>
      <c r="C221" t="s">
        <v>150</v>
      </c>
      <c r="D221" t="s">
        <v>18</v>
      </c>
      <c r="E221" t="s">
        <v>401</v>
      </c>
      <c r="F221" t="s">
        <v>556</v>
      </c>
      <c r="G221" t="s">
        <v>113</v>
      </c>
      <c r="H221">
        <v>5.4</v>
      </c>
      <c r="I221">
        <v>6</v>
      </c>
      <c r="J221" t="s">
        <v>66</v>
      </c>
      <c r="K221" t="s">
        <v>23</v>
      </c>
      <c r="L221" t="s">
        <v>34</v>
      </c>
      <c r="M221">
        <v>0</v>
      </c>
      <c r="N221" t="s">
        <v>35</v>
      </c>
      <c r="O221" t="s">
        <v>713</v>
      </c>
    </row>
    <row r="222" spans="1:15" x14ac:dyDescent="0.3">
      <c r="A222" t="s">
        <v>714</v>
      </c>
      <c r="B222" t="s">
        <v>86</v>
      </c>
      <c r="C222" t="s">
        <v>43</v>
      </c>
      <c r="D222" t="s">
        <v>29</v>
      </c>
      <c r="E222" t="s">
        <v>146</v>
      </c>
      <c r="F222" t="s">
        <v>715</v>
      </c>
      <c r="G222" t="s">
        <v>716</v>
      </c>
      <c r="H222">
        <v>9</v>
      </c>
      <c r="I222">
        <v>4</v>
      </c>
      <c r="J222" t="s">
        <v>33</v>
      </c>
      <c r="K222" t="s">
        <v>23</v>
      </c>
      <c r="L222" t="s">
        <v>41</v>
      </c>
      <c r="M222">
        <v>1</v>
      </c>
      <c r="N222" t="s">
        <v>61</v>
      </c>
      <c r="O222" t="s">
        <v>717</v>
      </c>
    </row>
    <row r="223" spans="1:15" x14ac:dyDescent="0.3">
      <c r="A223" t="s">
        <v>718</v>
      </c>
      <c r="B223" t="s">
        <v>86</v>
      </c>
      <c r="C223" t="s">
        <v>55</v>
      </c>
      <c r="D223" t="s">
        <v>18</v>
      </c>
      <c r="E223" t="s">
        <v>74</v>
      </c>
      <c r="F223" t="s">
        <v>142</v>
      </c>
      <c r="G223" t="s">
        <v>75</v>
      </c>
      <c r="H223">
        <v>8.9</v>
      </c>
      <c r="I223">
        <v>5</v>
      </c>
      <c r="J223" t="s">
        <v>59</v>
      </c>
      <c r="K223" t="s">
        <v>110</v>
      </c>
      <c r="L223" t="s">
        <v>41</v>
      </c>
      <c r="M223">
        <v>2</v>
      </c>
      <c r="O223" t="s">
        <v>719</v>
      </c>
    </row>
    <row r="224" spans="1:15" x14ac:dyDescent="0.3">
      <c r="A224" t="s">
        <v>720</v>
      </c>
      <c r="B224" t="s">
        <v>86</v>
      </c>
      <c r="C224" t="s">
        <v>43</v>
      </c>
      <c r="D224" t="s">
        <v>18</v>
      </c>
      <c r="E224" t="s">
        <v>93</v>
      </c>
      <c r="F224" t="s">
        <v>461</v>
      </c>
      <c r="G224" t="s">
        <v>319</v>
      </c>
      <c r="I224">
        <v>5</v>
      </c>
      <c r="J224" t="s">
        <v>66</v>
      </c>
      <c r="K224" t="s">
        <v>23</v>
      </c>
      <c r="L224" t="s">
        <v>34</v>
      </c>
      <c r="M224">
        <v>2</v>
      </c>
      <c r="N224" t="s">
        <v>83</v>
      </c>
      <c r="O224" t="s">
        <v>441</v>
      </c>
    </row>
    <row r="225" spans="1:15" x14ac:dyDescent="0.3">
      <c r="A225" t="s">
        <v>721</v>
      </c>
      <c r="B225" t="s">
        <v>16</v>
      </c>
      <c r="C225" t="s">
        <v>150</v>
      </c>
      <c r="D225" t="s">
        <v>18</v>
      </c>
      <c r="E225" t="s">
        <v>107</v>
      </c>
      <c r="F225" t="s">
        <v>449</v>
      </c>
      <c r="G225" t="s">
        <v>722</v>
      </c>
      <c r="H225">
        <v>6.1</v>
      </c>
      <c r="I225">
        <v>7</v>
      </c>
      <c r="J225" t="s">
        <v>33</v>
      </c>
      <c r="K225" t="s">
        <v>23</v>
      </c>
      <c r="L225" t="s">
        <v>60</v>
      </c>
      <c r="M225">
        <v>2</v>
      </c>
      <c r="N225" t="s">
        <v>35</v>
      </c>
      <c r="O225" t="s">
        <v>111</v>
      </c>
    </row>
    <row r="226" spans="1:15" x14ac:dyDescent="0.3">
      <c r="A226" t="s">
        <v>723</v>
      </c>
      <c r="B226" t="s">
        <v>16</v>
      </c>
      <c r="C226" t="s">
        <v>724</v>
      </c>
      <c r="D226" t="s">
        <v>29</v>
      </c>
      <c r="E226" t="s">
        <v>38</v>
      </c>
      <c r="F226" t="s">
        <v>725</v>
      </c>
      <c r="G226" t="s">
        <v>103</v>
      </c>
      <c r="H226">
        <v>6.7</v>
      </c>
      <c r="I226">
        <v>3</v>
      </c>
      <c r="J226" t="s">
        <v>59</v>
      </c>
      <c r="K226" t="s">
        <v>23</v>
      </c>
      <c r="L226" t="s">
        <v>77</v>
      </c>
      <c r="M226">
        <v>2</v>
      </c>
      <c r="N226" t="s">
        <v>61</v>
      </c>
      <c r="O226" t="s">
        <v>726</v>
      </c>
    </row>
    <row r="227" spans="1:15" x14ac:dyDescent="0.3">
      <c r="A227" t="s">
        <v>727</v>
      </c>
      <c r="B227" t="s">
        <v>28</v>
      </c>
      <c r="C227" t="s">
        <v>43</v>
      </c>
      <c r="D227" t="s">
        <v>29</v>
      </c>
      <c r="E227" t="s">
        <v>146</v>
      </c>
      <c r="F227" t="s">
        <v>728</v>
      </c>
      <c r="G227" t="s">
        <v>729</v>
      </c>
      <c r="H227">
        <v>7.5</v>
      </c>
      <c r="I227">
        <v>4</v>
      </c>
      <c r="J227" t="s">
        <v>22</v>
      </c>
      <c r="K227" t="s">
        <v>23</v>
      </c>
      <c r="L227" t="s">
        <v>60</v>
      </c>
      <c r="M227">
        <v>1</v>
      </c>
      <c r="N227" t="s">
        <v>35</v>
      </c>
      <c r="O227" t="s">
        <v>144</v>
      </c>
    </row>
    <row r="228" spans="1:15" x14ac:dyDescent="0.3">
      <c r="A228" t="s">
        <v>730</v>
      </c>
      <c r="B228" t="s">
        <v>28</v>
      </c>
      <c r="C228" t="s">
        <v>17</v>
      </c>
      <c r="D228" t="s">
        <v>18</v>
      </c>
      <c r="E228" t="s">
        <v>56</v>
      </c>
      <c r="F228" t="s">
        <v>660</v>
      </c>
      <c r="G228" t="s">
        <v>731</v>
      </c>
      <c r="H228">
        <v>7.1</v>
      </c>
      <c r="I228">
        <v>4</v>
      </c>
      <c r="J228" t="s">
        <v>66</v>
      </c>
      <c r="K228" t="s">
        <v>23</v>
      </c>
      <c r="L228" t="s">
        <v>24</v>
      </c>
      <c r="M228">
        <v>0</v>
      </c>
      <c r="N228" t="s">
        <v>25</v>
      </c>
      <c r="O228" t="s">
        <v>420</v>
      </c>
    </row>
    <row r="229" spans="1:15" x14ac:dyDescent="0.3">
      <c r="A229" t="s">
        <v>732</v>
      </c>
      <c r="B229" t="s">
        <v>16</v>
      </c>
      <c r="C229" t="s">
        <v>17</v>
      </c>
      <c r="D229" t="s">
        <v>18</v>
      </c>
      <c r="E229" t="s">
        <v>38</v>
      </c>
      <c r="F229" t="s">
        <v>261</v>
      </c>
      <c r="G229" t="s">
        <v>26</v>
      </c>
      <c r="H229">
        <v>6.3</v>
      </c>
      <c r="I229">
        <v>3</v>
      </c>
      <c r="J229" t="s">
        <v>33</v>
      </c>
      <c r="K229" t="s">
        <v>23</v>
      </c>
      <c r="L229" t="s">
        <v>34</v>
      </c>
      <c r="M229">
        <v>1</v>
      </c>
      <c r="O229" t="s">
        <v>733</v>
      </c>
    </row>
    <row r="230" spans="1:15" x14ac:dyDescent="0.3">
      <c r="A230" t="s">
        <v>734</v>
      </c>
      <c r="B230" t="s">
        <v>80</v>
      </c>
      <c r="C230" t="s">
        <v>43</v>
      </c>
      <c r="D230" t="s">
        <v>18</v>
      </c>
      <c r="E230" t="s">
        <v>146</v>
      </c>
      <c r="F230" t="s">
        <v>184</v>
      </c>
      <c r="G230" t="s">
        <v>435</v>
      </c>
      <c r="H230">
        <v>7.4</v>
      </c>
      <c r="I230">
        <v>3</v>
      </c>
      <c r="J230" t="s">
        <v>33</v>
      </c>
      <c r="K230" t="s">
        <v>23</v>
      </c>
      <c r="L230" t="s">
        <v>34</v>
      </c>
      <c r="M230">
        <v>0</v>
      </c>
      <c r="N230" t="s">
        <v>83</v>
      </c>
      <c r="O230" t="s">
        <v>104</v>
      </c>
    </row>
    <row r="231" spans="1:15" x14ac:dyDescent="0.3">
      <c r="A231" t="s">
        <v>735</v>
      </c>
      <c r="B231" t="s">
        <v>98</v>
      </c>
      <c r="C231" t="s">
        <v>210</v>
      </c>
      <c r="D231" t="s">
        <v>18</v>
      </c>
      <c r="E231" t="s">
        <v>56</v>
      </c>
      <c r="F231" t="s">
        <v>736</v>
      </c>
      <c r="G231" t="s">
        <v>725</v>
      </c>
      <c r="H231">
        <v>7.9</v>
      </c>
      <c r="I231">
        <v>2</v>
      </c>
      <c r="J231" t="s">
        <v>59</v>
      </c>
      <c r="K231" t="s">
        <v>23</v>
      </c>
      <c r="L231" t="s">
        <v>34</v>
      </c>
      <c r="M231">
        <v>2</v>
      </c>
      <c r="N231" t="s">
        <v>83</v>
      </c>
      <c r="O231" t="s">
        <v>525</v>
      </c>
    </row>
    <row r="232" spans="1:15" x14ac:dyDescent="0.3">
      <c r="A232" t="s">
        <v>737</v>
      </c>
      <c r="B232" t="s">
        <v>16</v>
      </c>
      <c r="C232" t="s">
        <v>43</v>
      </c>
      <c r="D232" t="s">
        <v>29</v>
      </c>
      <c r="E232" t="s">
        <v>738</v>
      </c>
      <c r="F232" t="s">
        <v>257</v>
      </c>
      <c r="G232" t="s">
        <v>739</v>
      </c>
      <c r="H232">
        <v>5.3</v>
      </c>
      <c r="I232">
        <v>2</v>
      </c>
      <c r="J232" t="s">
        <v>22</v>
      </c>
      <c r="K232" t="s">
        <v>51</v>
      </c>
      <c r="L232" t="s">
        <v>34</v>
      </c>
      <c r="M232">
        <v>1</v>
      </c>
      <c r="N232" t="s">
        <v>25</v>
      </c>
      <c r="O232" t="s">
        <v>72</v>
      </c>
    </row>
    <row r="233" spans="1:15" x14ac:dyDescent="0.3">
      <c r="A233" t="s">
        <v>740</v>
      </c>
      <c r="B233" t="s">
        <v>16</v>
      </c>
      <c r="C233" t="s">
        <v>43</v>
      </c>
      <c r="D233" t="s">
        <v>18</v>
      </c>
      <c r="E233" t="s">
        <v>19</v>
      </c>
      <c r="F233" t="s">
        <v>323</v>
      </c>
      <c r="G233" t="s">
        <v>741</v>
      </c>
      <c r="H233">
        <v>6.2</v>
      </c>
      <c r="I233">
        <v>4</v>
      </c>
      <c r="J233" t="s">
        <v>33</v>
      </c>
      <c r="K233" t="s">
        <v>23</v>
      </c>
      <c r="L233" t="s">
        <v>60</v>
      </c>
      <c r="M233">
        <v>2</v>
      </c>
      <c r="N233" t="s">
        <v>35</v>
      </c>
      <c r="O233" t="s">
        <v>321</v>
      </c>
    </row>
    <row r="234" spans="1:15" x14ac:dyDescent="0.3">
      <c r="A234" t="s">
        <v>742</v>
      </c>
      <c r="B234" t="s">
        <v>48</v>
      </c>
      <c r="C234" t="s">
        <v>43</v>
      </c>
      <c r="D234" t="s">
        <v>18</v>
      </c>
      <c r="E234" t="s">
        <v>146</v>
      </c>
      <c r="F234" t="s">
        <v>76</v>
      </c>
      <c r="G234" t="s">
        <v>743</v>
      </c>
      <c r="H234">
        <v>7</v>
      </c>
      <c r="I234">
        <v>4</v>
      </c>
      <c r="J234" t="s">
        <v>33</v>
      </c>
      <c r="K234" t="s">
        <v>51</v>
      </c>
      <c r="L234" t="s">
        <v>34</v>
      </c>
      <c r="M234">
        <v>0</v>
      </c>
      <c r="N234" t="s">
        <v>25</v>
      </c>
      <c r="O234" t="s">
        <v>474</v>
      </c>
    </row>
    <row r="235" spans="1:15" x14ac:dyDescent="0.3">
      <c r="A235" t="s">
        <v>744</v>
      </c>
      <c r="B235" t="s">
        <v>48</v>
      </c>
      <c r="C235" t="s">
        <v>55</v>
      </c>
      <c r="D235" t="s">
        <v>29</v>
      </c>
      <c r="E235" t="s">
        <v>146</v>
      </c>
      <c r="F235" t="s">
        <v>745</v>
      </c>
      <c r="G235" t="s">
        <v>300</v>
      </c>
      <c r="H235">
        <v>6.8</v>
      </c>
      <c r="I235">
        <v>2</v>
      </c>
      <c r="J235" t="s">
        <v>33</v>
      </c>
      <c r="K235" t="s">
        <v>23</v>
      </c>
      <c r="L235" t="s">
        <v>77</v>
      </c>
      <c r="M235">
        <v>3</v>
      </c>
      <c r="N235" t="s">
        <v>498</v>
      </c>
      <c r="O235" t="s">
        <v>746</v>
      </c>
    </row>
    <row r="236" spans="1:15" x14ac:dyDescent="0.3">
      <c r="A236" t="s">
        <v>747</v>
      </c>
      <c r="B236" t="s">
        <v>86</v>
      </c>
      <c r="C236" t="s">
        <v>43</v>
      </c>
      <c r="D236" t="s">
        <v>29</v>
      </c>
      <c r="E236" t="s">
        <v>74</v>
      </c>
      <c r="F236" t="s">
        <v>300</v>
      </c>
      <c r="G236" t="s">
        <v>350</v>
      </c>
      <c r="H236">
        <v>6</v>
      </c>
      <c r="I236">
        <v>5</v>
      </c>
      <c r="K236" t="s">
        <v>51</v>
      </c>
      <c r="L236" t="s">
        <v>41</v>
      </c>
      <c r="M236">
        <v>0</v>
      </c>
      <c r="N236" t="s">
        <v>35</v>
      </c>
      <c r="O236" t="s">
        <v>139</v>
      </c>
    </row>
    <row r="237" spans="1:15" x14ac:dyDescent="0.3">
      <c r="A237" t="s">
        <v>748</v>
      </c>
      <c r="B237" t="s">
        <v>80</v>
      </c>
      <c r="C237" t="s">
        <v>43</v>
      </c>
      <c r="D237" t="s">
        <v>18</v>
      </c>
      <c r="E237" t="s">
        <v>187</v>
      </c>
      <c r="F237" t="s">
        <v>749</v>
      </c>
      <c r="G237" t="s">
        <v>109</v>
      </c>
      <c r="I237">
        <v>4</v>
      </c>
      <c r="J237" t="s">
        <v>22</v>
      </c>
      <c r="K237" t="s">
        <v>51</v>
      </c>
      <c r="L237" t="s">
        <v>24</v>
      </c>
      <c r="M237">
        <v>0</v>
      </c>
      <c r="N237" t="s">
        <v>83</v>
      </c>
      <c r="O237" t="s">
        <v>746</v>
      </c>
    </row>
    <row r="238" spans="1:15" x14ac:dyDescent="0.3">
      <c r="A238" t="s">
        <v>750</v>
      </c>
      <c r="B238" t="s">
        <v>16</v>
      </c>
      <c r="C238" t="s">
        <v>17</v>
      </c>
      <c r="D238" t="s">
        <v>18</v>
      </c>
      <c r="E238" t="s">
        <v>19</v>
      </c>
      <c r="F238" t="s">
        <v>236</v>
      </c>
      <c r="G238" t="s">
        <v>751</v>
      </c>
      <c r="H238">
        <v>6.8</v>
      </c>
      <c r="I238">
        <v>2</v>
      </c>
      <c r="J238" t="s">
        <v>33</v>
      </c>
      <c r="K238" t="s">
        <v>23</v>
      </c>
      <c r="L238" t="s">
        <v>60</v>
      </c>
      <c r="M238">
        <v>0</v>
      </c>
      <c r="N238" t="s">
        <v>25</v>
      </c>
      <c r="O238" t="s">
        <v>355</v>
      </c>
    </row>
    <row r="239" spans="1:15" x14ac:dyDescent="0.3">
      <c r="A239" t="s">
        <v>752</v>
      </c>
      <c r="B239" t="s">
        <v>16</v>
      </c>
      <c r="C239" t="s">
        <v>43</v>
      </c>
      <c r="D239" t="s">
        <v>29</v>
      </c>
      <c r="E239" t="s">
        <v>38</v>
      </c>
      <c r="F239" t="s">
        <v>347</v>
      </c>
      <c r="G239" t="s">
        <v>753</v>
      </c>
      <c r="I239">
        <v>6</v>
      </c>
      <c r="J239" t="s">
        <v>59</v>
      </c>
      <c r="K239" t="s">
        <v>23</v>
      </c>
      <c r="L239" t="s">
        <v>60</v>
      </c>
      <c r="M239">
        <v>2</v>
      </c>
      <c r="N239" t="s">
        <v>157</v>
      </c>
      <c r="O239" t="s">
        <v>175</v>
      </c>
    </row>
    <row r="240" spans="1:15" x14ac:dyDescent="0.3">
      <c r="A240" t="s">
        <v>754</v>
      </c>
      <c r="B240" t="s">
        <v>48</v>
      </c>
      <c r="C240" t="s">
        <v>724</v>
      </c>
      <c r="D240" t="s">
        <v>18</v>
      </c>
      <c r="F240" t="s">
        <v>755</v>
      </c>
      <c r="G240" t="s">
        <v>364</v>
      </c>
      <c r="I240">
        <v>2</v>
      </c>
      <c r="J240" t="s">
        <v>33</v>
      </c>
      <c r="K240" t="s">
        <v>23</v>
      </c>
      <c r="L240" t="s">
        <v>77</v>
      </c>
      <c r="M240">
        <v>0</v>
      </c>
      <c r="N240" t="s">
        <v>35</v>
      </c>
      <c r="O240" t="s">
        <v>168</v>
      </c>
    </row>
    <row r="241" spans="1:15" x14ac:dyDescent="0.3">
      <c r="A241" t="s">
        <v>756</v>
      </c>
      <c r="B241" t="s">
        <v>28</v>
      </c>
      <c r="C241" t="s">
        <v>17</v>
      </c>
      <c r="D241" t="s">
        <v>18</v>
      </c>
      <c r="E241" t="s">
        <v>146</v>
      </c>
      <c r="F241" t="s">
        <v>340</v>
      </c>
      <c r="G241" t="s">
        <v>757</v>
      </c>
      <c r="H241">
        <v>7.5</v>
      </c>
      <c r="I241">
        <v>3</v>
      </c>
      <c r="J241" t="s">
        <v>33</v>
      </c>
      <c r="K241" t="s">
        <v>23</v>
      </c>
      <c r="L241" t="s">
        <v>24</v>
      </c>
      <c r="M241">
        <v>0</v>
      </c>
      <c r="N241" t="s">
        <v>35</v>
      </c>
    </row>
    <row r="242" spans="1:15" x14ac:dyDescent="0.3">
      <c r="A242" t="s">
        <v>758</v>
      </c>
      <c r="B242" t="s">
        <v>80</v>
      </c>
      <c r="C242" t="s">
        <v>43</v>
      </c>
      <c r="D242" t="s">
        <v>18</v>
      </c>
      <c r="E242" t="s">
        <v>74</v>
      </c>
      <c r="F242" t="s">
        <v>206</v>
      </c>
      <c r="G242" t="s">
        <v>472</v>
      </c>
      <c r="H242">
        <v>6.9</v>
      </c>
      <c r="I242">
        <v>1</v>
      </c>
      <c r="J242" t="s">
        <v>33</v>
      </c>
      <c r="K242" t="s">
        <v>23</v>
      </c>
      <c r="L242" t="s">
        <v>41</v>
      </c>
      <c r="M242">
        <v>0</v>
      </c>
      <c r="N242" t="s">
        <v>35</v>
      </c>
      <c r="O242" t="s">
        <v>759</v>
      </c>
    </row>
    <row r="243" spans="1:15" x14ac:dyDescent="0.3">
      <c r="A243" t="s">
        <v>760</v>
      </c>
      <c r="B243" t="s">
        <v>16</v>
      </c>
      <c r="C243" t="s">
        <v>43</v>
      </c>
      <c r="D243" t="s">
        <v>18</v>
      </c>
      <c r="E243" t="s">
        <v>146</v>
      </c>
      <c r="F243" t="s">
        <v>261</v>
      </c>
      <c r="G243" t="s">
        <v>761</v>
      </c>
      <c r="H243">
        <v>7.3</v>
      </c>
      <c r="I243">
        <v>4</v>
      </c>
      <c r="J243" t="s">
        <v>22</v>
      </c>
      <c r="K243" t="s">
        <v>23</v>
      </c>
      <c r="L243" t="s">
        <v>34</v>
      </c>
      <c r="M243">
        <v>2</v>
      </c>
      <c r="N243" t="s">
        <v>35</v>
      </c>
      <c r="O243" t="s">
        <v>430</v>
      </c>
    </row>
    <row r="244" spans="1:15" x14ac:dyDescent="0.3">
      <c r="A244" t="s">
        <v>762</v>
      </c>
      <c r="B244" t="s">
        <v>28</v>
      </c>
      <c r="C244" t="s">
        <v>210</v>
      </c>
      <c r="D244" t="s">
        <v>18</v>
      </c>
      <c r="E244" t="s">
        <v>38</v>
      </c>
      <c r="F244" t="s">
        <v>204</v>
      </c>
      <c r="G244" t="s">
        <v>763</v>
      </c>
      <c r="H244">
        <v>6.8</v>
      </c>
      <c r="I244">
        <v>2</v>
      </c>
      <c r="J244" t="s">
        <v>33</v>
      </c>
      <c r="K244" t="s">
        <v>51</v>
      </c>
      <c r="L244" t="s">
        <v>34</v>
      </c>
      <c r="M244">
        <v>1</v>
      </c>
      <c r="N244" t="s">
        <v>35</v>
      </c>
      <c r="O244" t="s">
        <v>53</v>
      </c>
    </row>
    <row r="245" spans="1:15" x14ac:dyDescent="0.3">
      <c r="A245" t="s">
        <v>764</v>
      </c>
      <c r="B245" t="s">
        <v>28</v>
      </c>
      <c r="C245" t="s">
        <v>210</v>
      </c>
      <c r="D245" t="s">
        <v>387</v>
      </c>
      <c r="E245" t="s">
        <v>69</v>
      </c>
      <c r="F245" t="s">
        <v>340</v>
      </c>
      <c r="G245" t="s">
        <v>765</v>
      </c>
      <c r="H245">
        <v>6.8</v>
      </c>
      <c r="I245">
        <v>3</v>
      </c>
      <c r="J245" t="s">
        <v>33</v>
      </c>
      <c r="K245" t="s">
        <v>23</v>
      </c>
      <c r="L245" t="s">
        <v>34</v>
      </c>
      <c r="M245">
        <v>0</v>
      </c>
      <c r="N245" t="s">
        <v>25</v>
      </c>
      <c r="O245" t="s">
        <v>766</v>
      </c>
    </row>
    <row r="246" spans="1:15" x14ac:dyDescent="0.3">
      <c r="A246" t="s">
        <v>767</v>
      </c>
      <c r="B246" t="s">
        <v>16</v>
      </c>
      <c r="C246" t="s">
        <v>55</v>
      </c>
      <c r="D246" t="s">
        <v>18</v>
      </c>
      <c r="E246" t="s">
        <v>56</v>
      </c>
      <c r="F246" t="s">
        <v>87</v>
      </c>
      <c r="G246" t="s">
        <v>639</v>
      </c>
      <c r="H246">
        <v>8.5</v>
      </c>
      <c r="I246">
        <v>4</v>
      </c>
      <c r="J246" t="s">
        <v>33</v>
      </c>
      <c r="K246" t="s">
        <v>23</v>
      </c>
      <c r="L246" t="s">
        <v>41</v>
      </c>
      <c r="M246">
        <v>2</v>
      </c>
      <c r="N246" t="s">
        <v>35</v>
      </c>
      <c r="O246" t="s">
        <v>768</v>
      </c>
    </row>
    <row r="247" spans="1:15" x14ac:dyDescent="0.3">
      <c r="A247" t="s">
        <v>769</v>
      </c>
      <c r="B247" t="s">
        <v>80</v>
      </c>
      <c r="C247" t="s">
        <v>43</v>
      </c>
      <c r="D247" t="s">
        <v>387</v>
      </c>
      <c r="E247" t="s">
        <v>19</v>
      </c>
      <c r="F247" t="s">
        <v>770</v>
      </c>
      <c r="G247" t="s">
        <v>771</v>
      </c>
      <c r="H247">
        <v>9.5</v>
      </c>
      <c r="I247">
        <v>3</v>
      </c>
      <c r="J247" t="s">
        <v>22</v>
      </c>
      <c r="K247" t="s">
        <v>23</v>
      </c>
      <c r="L247" t="s">
        <v>60</v>
      </c>
      <c r="M247">
        <v>3</v>
      </c>
      <c r="N247" t="s">
        <v>35</v>
      </c>
      <c r="O247" t="s">
        <v>772</v>
      </c>
    </row>
    <row r="248" spans="1:15" x14ac:dyDescent="0.3">
      <c r="A248" t="s">
        <v>773</v>
      </c>
      <c r="B248" t="s">
        <v>16</v>
      </c>
      <c r="C248" t="s">
        <v>210</v>
      </c>
      <c r="D248" t="s">
        <v>18</v>
      </c>
      <c r="E248" t="s">
        <v>19</v>
      </c>
      <c r="F248" t="s">
        <v>323</v>
      </c>
      <c r="G248" t="s">
        <v>774</v>
      </c>
      <c r="I248">
        <v>1</v>
      </c>
      <c r="J248" t="s">
        <v>66</v>
      </c>
      <c r="K248" t="s">
        <v>23</v>
      </c>
      <c r="L248" t="s">
        <v>41</v>
      </c>
      <c r="M248">
        <v>1</v>
      </c>
      <c r="N248" t="s">
        <v>61</v>
      </c>
      <c r="O248" t="s">
        <v>243</v>
      </c>
    </row>
    <row r="249" spans="1:15" x14ac:dyDescent="0.3">
      <c r="A249" t="s">
        <v>775</v>
      </c>
      <c r="B249" t="s">
        <v>16</v>
      </c>
      <c r="C249" t="s">
        <v>17</v>
      </c>
      <c r="D249" t="s">
        <v>29</v>
      </c>
      <c r="E249" t="s">
        <v>19</v>
      </c>
      <c r="F249" t="s">
        <v>95</v>
      </c>
      <c r="G249" t="s">
        <v>776</v>
      </c>
      <c r="H249">
        <v>7.1</v>
      </c>
      <c r="I249">
        <v>2</v>
      </c>
      <c r="J249" t="s">
        <v>33</v>
      </c>
      <c r="K249" t="s">
        <v>51</v>
      </c>
      <c r="L249" t="s">
        <v>77</v>
      </c>
      <c r="M249">
        <v>1</v>
      </c>
      <c r="N249" t="s">
        <v>83</v>
      </c>
      <c r="O249" t="s">
        <v>766</v>
      </c>
    </row>
    <row r="250" spans="1:15" x14ac:dyDescent="0.3">
      <c r="A250" t="s">
        <v>777</v>
      </c>
      <c r="B250" t="s">
        <v>80</v>
      </c>
      <c r="C250" t="s">
        <v>43</v>
      </c>
      <c r="D250" t="s">
        <v>18</v>
      </c>
      <c r="E250" t="s">
        <v>74</v>
      </c>
      <c r="F250" t="s">
        <v>388</v>
      </c>
      <c r="G250" t="s">
        <v>124</v>
      </c>
      <c r="H250">
        <v>8.1999999999999993</v>
      </c>
      <c r="I250">
        <v>5</v>
      </c>
      <c r="J250" t="s">
        <v>22</v>
      </c>
      <c r="K250" t="s">
        <v>23</v>
      </c>
      <c r="L250" t="s">
        <v>41</v>
      </c>
      <c r="M250">
        <v>0</v>
      </c>
      <c r="N250" t="s">
        <v>25</v>
      </c>
      <c r="O250" t="s">
        <v>778</v>
      </c>
    </row>
    <row r="251" spans="1:15" x14ac:dyDescent="0.3">
      <c r="A251" t="s">
        <v>779</v>
      </c>
      <c r="B251" t="s">
        <v>80</v>
      </c>
      <c r="C251" t="s">
        <v>43</v>
      </c>
      <c r="D251" t="s">
        <v>29</v>
      </c>
      <c r="E251" t="s">
        <v>107</v>
      </c>
      <c r="F251" t="s">
        <v>780</v>
      </c>
      <c r="G251" t="s">
        <v>781</v>
      </c>
      <c r="H251">
        <v>7.6</v>
      </c>
      <c r="I251">
        <v>4</v>
      </c>
      <c r="J251" t="s">
        <v>22</v>
      </c>
      <c r="K251" t="s">
        <v>23</v>
      </c>
      <c r="L251" t="s">
        <v>77</v>
      </c>
      <c r="M251">
        <v>0</v>
      </c>
      <c r="N251" t="s">
        <v>61</v>
      </c>
      <c r="O251" t="s">
        <v>122</v>
      </c>
    </row>
    <row r="252" spans="1:15" x14ac:dyDescent="0.3">
      <c r="A252" t="s">
        <v>782</v>
      </c>
      <c r="B252" t="s">
        <v>80</v>
      </c>
      <c r="C252" t="s">
        <v>43</v>
      </c>
      <c r="D252" t="s">
        <v>29</v>
      </c>
      <c r="E252" t="s">
        <v>56</v>
      </c>
      <c r="F252" t="s">
        <v>357</v>
      </c>
      <c r="G252" t="s">
        <v>783</v>
      </c>
      <c r="H252">
        <v>5.9</v>
      </c>
      <c r="I252">
        <v>8</v>
      </c>
      <c r="J252" t="s">
        <v>33</v>
      </c>
      <c r="K252" t="s">
        <v>23</v>
      </c>
      <c r="L252" t="s">
        <v>41</v>
      </c>
      <c r="M252">
        <v>2</v>
      </c>
      <c r="N252" t="s">
        <v>83</v>
      </c>
      <c r="O252" t="s">
        <v>784</v>
      </c>
    </row>
    <row r="253" spans="1:15" x14ac:dyDescent="0.3">
      <c r="A253" t="s">
        <v>785</v>
      </c>
      <c r="B253" t="s">
        <v>28</v>
      </c>
      <c r="C253" t="s">
        <v>150</v>
      </c>
      <c r="D253" t="s">
        <v>18</v>
      </c>
      <c r="E253" t="s">
        <v>146</v>
      </c>
      <c r="F253" t="s">
        <v>461</v>
      </c>
      <c r="G253" t="s">
        <v>786</v>
      </c>
      <c r="H253">
        <v>8.6999999999999993</v>
      </c>
      <c r="I253">
        <v>2</v>
      </c>
      <c r="J253" t="s">
        <v>787</v>
      </c>
      <c r="K253" t="s">
        <v>23</v>
      </c>
      <c r="L253" t="s">
        <v>41</v>
      </c>
      <c r="M253">
        <v>4</v>
      </c>
      <c r="N253" t="s">
        <v>52</v>
      </c>
      <c r="O253" t="s">
        <v>84</v>
      </c>
    </row>
    <row r="254" spans="1:15" x14ac:dyDescent="0.3">
      <c r="A254" t="s">
        <v>788</v>
      </c>
      <c r="B254" t="s">
        <v>16</v>
      </c>
      <c r="C254" t="s">
        <v>210</v>
      </c>
      <c r="D254" t="s">
        <v>18</v>
      </c>
      <c r="E254" t="s">
        <v>19</v>
      </c>
      <c r="F254" t="s">
        <v>218</v>
      </c>
      <c r="G254" t="s">
        <v>546</v>
      </c>
      <c r="I254">
        <v>4</v>
      </c>
      <c r="J254" t="s">
        <v>59</v>
      </c>
      <c r="K254" t="s">
        <v>23</v>
      </c>
      <c r="L254" t="s">
        <v>41</v>
      </c>
      <c r="M254">
        <v>2</v>
      </c>
      <c r="N254" t="s">
        <v>83</v>
      </c>
      <c r="O254" t="s">
        <v>563</v>
      </c>
    </row>
    <row r="255" spans="1:15" x14ac:dyDescent="0.3">
      <c r="A255" t="s">
        <v>789</v>
      </c>
      <c r="B255" t="s">
        <v>16</v>
      </c>
      <c r="C255" t="s">
        <v>43</v>
      </c>
      <c r="D255" t="s">
        <v>29</v>
      </c>
      <c r="E255" t="s">
        <v>146</v>
      </c>
      <c r="F255" t="s">
        <v>616</v>
      </c>
      <c r="G255" t="s">
        <v>790</v>
      </c>
      <c r="H255">
        <v>7</v>
      </c>
      <c r="I255">
        <v>0</v>
      </c>
      <c r="J255" t="s">
        <v>33</v>
      </c>
      <c r="K255" t="s">
        <v>23</v>
      </c>
      <c r="L255" t="s">
        <v>41</v>
      </c>
      <c r="M255">
        <v>0</v>
      </c>
      <c r="N255" t="s">
        <v>83</v>
      </c>
      <c r="O255" t="s">
        <v>486</v>
      </c>
    </row>
    <row r="256" spans="1:15" x14ac:dyDescent="0.3">
      <c r="A256" t="s">
        <v>244</v>
      </c>
      <c r="B256" t="s">
        <v>28</v>
      </c>
      <c r="C256" t="s">
        <v>17</v>
      </c>
      <c r="D256" t="s">
        <v>18</v>
      </c>
      <c r="E256" t="s">
        <v>56</v>
      </c>
      <c r="F256" t="s">
        <v>245</v>
      </c>
      <c r="G256" t="s">
        <v>241</v>
      </c>
      <c r="H256">
        <v>7.1</v>
      </c>
      <c r="I256">
        <v>7</v>
      </c>
      <c r="J256" t="s">
        <v>33</v>
      </c>
      <c r="K256" t="s">
        <v>23</v>
      </c>
      <c r="L256" t="s">
        <v>60</v>
      </c>
      <c r="M256">
        <v>1</v>
      </c>
      <c r="N256" t="s">
        <v>35</v>
      </c>
      <c r="O256" t="s">
        <v>246</v>
      </c>
    </row>
    <row r="257" spans="1:15" x14ac:dyDescent="0.3">
      <c r="A257" t="s">
        <v>791</v>
      </c>
      <c r="B257" t="s">
        <v>16</v>
      </c>
      <c r="C257" t="s">
        <v>106</v>
      </c>
      <c r="D257" t="s">
        <v>29</v>
      </c>
      <c r="E257" t="s">
        <v>93</v>
      </c>
      <c r="F257" t="s">
        <v>792</v>
      </c>
      <c r="G257" t="s">
        <v>793</v>
      </c>
      <c r="H257">
        <v>6.5</v>
      </c>
      <c r="I257">
        <v>2</v>
      </c>
      <c r="J257" t="s">
        <v>33</v>
      </c>
      <c r="K257" t="s">
        <v>23</v>
      </c>
      <c r="L257" t="s">
        <v>34</v>
      </c>
      <c r="M257">
        <v>2</v>
      </c>
      <c r="N257" t="s">
        <v>61</v>
      </c>
      <c r="O257" t="s">
        <v>563</v>
      </c>
    </row>
    <row r="258" spans="1:15" x14ac:dyDescent="0.3">
      <c r="A258" t="s">
        <v>794</v>
      </c>
      <c r="B258" t="s">
        <v>16</v>
      </c>
      <c r="C258" t="s">
        <v>55</v>
      </c>
      <c r="D258" t="s">
        <v>29</v>
      </c>
      <c r="E258" t="s">
        <v>404</v>
      </c>
      <c r="F258" t="s">
        <v>369</v>
      </c>
      <c r="I258">
        <v>4</v>
      </c>
      <c r="J258" t="s">
        <v>22</v>
      </c>
      <c r="K258" t="s">
        <v>23</v>
      </c>
      <c r="L258" t="s">
        <v>41</v>
      </c>
      <c r="M258">
        <v>1</v>
      </c>
      <c r="N258" t="s">
        <v>83</v>
      </c>
      <c r="O258" t="s">
        <v>308</v>
      </c>
    </row>
    <row r="259" spans="1:15" x14ac:dyDescent="0.3">
      <c r="A259" t="s">
        <v>795</v>
      </c>
      <c r="B259" t="s">
        <v>16</v>
      </c>
      <c r="C259" t="s">
        <v>43</v>
      </c>
      <c r="D259" t="s">
        <v>29</v>
      </c>
      <c r="E259" t="s">
        <v>19</v>
      </c>
      <c r="F259" t="s">
        <v>485</v>
      </c>
      <c r="G259" t="s">
        <v>796</v>
      </c>
      <c r="H259">
        <v>4.5</v>
      </c>
      <c r="I259">
        <v>4</v>
      </c>
      <c r="J259" t="s">
        <v>33</v>
      </c>
      <c r="K259" t="s">
        <v>23</v>
      </c>
      <c r="L259" t="s">
        <v>24</v>
      </c>
      <c r="M259">
        <v>1</v>
      </c>
      <c r="N259" t="s">
        <v>35</v>
      </c>
      <c r="O259" t="s">
        <v>797</v>
      </c>
    </row>
    <row r="260" spans="1:15" x14ac:dyDescent="0.3">
      <c r="A260" t="s">
        <v>798</v>
      </c>
      <c r="B260" t="s">
        <v>80</v>
      </c>
      <c r="C260" t="s">
        <v>55</v>
      </c>
      <c r="D260" t="s">
        <v>18</v>
      </c>
      <c r="E260" t="s">
        <v>107</v>
      </c>
      <c r="F260" t="s">
        <v>286</v>
      </c>
      <c r="G260" t="s">
        <v>310</v>
      </c>
      <c r="H260">
        <v>5.6</v>
      </c>
      <c r="I260">
        <v>2</v>
      </c>
      <c r="J260" t="s">
        <v>22</v>
      </c>
      <c r="K260" t="s">
        <v>51</v>
      </c>
      <c r="L260" t="s">
        <v>41</v>
      </c>
      <c r="M260">
        <v>0</v>
      </c>
      <c r="N260" t="s">
        <v>35</v>
      </c>
      <c r="O260" t="s">
        <v>799</v>
      </c>
    </row>
    <row r="261" spans="1:15" x14ac:dyDescent="0.3">
      <c r="A261" t="s">
        <v>800</v>
      </c>
      <c r="B261" t="s">
        <v>16</v>
      </c>
      <c r="C261" t="s">
        <v>210</v>
      </c>
      <c r="D261" t="s">
        <v>18</v>
      </c>
      <c r="E261" t="s">
        <v>69</v>
      </c>
      <c r="F261" t="s">
        <v>364</v>
      </c>
      <c r="G261" t="s">
        <v>801</v>
      </c>
      <c r="H261">
        <v>6.4</v>
      </c>
      <c r="I261">
        <v>3</v>
      </c>
      <c r="J261" t="s">
        <v>59</v>
      </c>
      <c r="K261" t="s">
        <v>23</v>
      </c>
      <c r="L261" t="s">
        <v>41</v>
      </c>
      <c r="M261">
        <v>1</v>
      </c>
      <c r="O261" t="s">
        <v>563</v>
      </c>
    </row>
    <row r="262" spans="1:15" x14ac:dyDescent="0.3">
      <c r="A262" t="s">
        <v>802</v>
      </c>
      <c r="B262" t="s">
        <v>80</v>
      </c>
      <c r="C262" t="s">
        <v>55</v>
      </c>
      <c r="D262" t="s">
        <v>29</v>
      </c>
      <c r="E262" t="s">
        <v>38</v>
      </c>
      <c r="F262" t="s">
        <v>803</v>
      </c>
      <c r="G262" t="s">
        <v>804</v>
      </c>
      <c r="H262">
        <v>9</v>
      </c>
      <c r="I262">
        <v>3</v>
      </c>
      <c r="J262" t="s">
        <v>33</v>
      </c>
      <c r="K262" t="s">
        <v>51</v>
      </c>
      <c r="L262" t="s">
        <v>24</v>
      </c>
      <c r="M262">
        <v>0</v>
      </c>
      <c r="N262" t="s">
        <v>157</v>
      </c>
      <c r="O262" t="s">
        <v>805</v>
      </c>
    </row>
    <row r="263" spans="1:15" x14ac:dyDescent="0.3">
      <c r="A263" t="s">
        <v>806</v>
      </c>
      <c r="B263" t="s">
        <v>16</v>
      </c>
      <c r="C263" t="s">
        <v>150</v>
      </c>
      <c r="D263" t="s">
        <v>29</v>
      </c>
      <c r="E263" t="s">
        <v>56</v>
      </c>
      <c r="F263" t="s">
        <v>575</v>
      </c>
      <c r="G263" t="s">
        <v>460</v>
      </c>
      <c r="H263">
        <v>5.5</v>
      </c>
      <c r="I263">
        <v>2</v>
      </c>
      <c r="J263" t="s">
        <v>59</v>
      </c>
      <c r="K263" t="s">
        <v>23</v>
      </c>
      <c r="L263" t="s">
        <v>77</v>
      </c>
      <c r="M263">
        <v>0</v>
      </c>
      <c r="N263" t="s">
        <v>238</v>
      </c>
      <c r="O263" t="s">
        <v>427</v>
      </c>
    </row>
    <row r="264" spans="1:15" x14ac:dyDescent="0.3">
      <c r="A264" t="s">
        <v>807</v>
      </c>
      <c r="B264" t="s">
        <v>28</v>
      </c>
      <c r="C264" t="s">
        <v>150</v>
      </c>
      <c r="D264" t="s">
        <v>29</v>
      </c>
      <c r="F264" t="s">
        <v>808</v>
      </c>
      <c r="G264" t="s">
        <v>809</v>
      </c>
      <c r="H264">
        <v>6.7</v>
      </c>
      <c r="I264">
        <v>2</v>
      </c>
      <c r="J264" t="s">
        <v>59</v>
      </c>
      <c r="K264" t="s">
        <v>23</v>
      </c>
      <c r="L264" t="s">
        <v>34</v>
      </c>
      <c r="M264">
        <v>0</v>
      </c>
      <c r="N264" t="s">
        <v>25</v>
      </c>
      <c r="O264" t="s">
        <v>810</v>
      </c>
    </row>
    <row r="265" spans="1:15" x14ac:dyDescent="0.3">
      <c r="A265" t="s">
        <v>811</v>
      </c>
      <c r="B265" t="s">
        <v>48</v>
      </c>
      <c r="C265" t="s">
        <v>210</v>
      </c>
      <c r="D265" t="s">
        <v>18</v>
      </c>
      <c r="E265" t="s">
        <v>74</v>
      </c>
      <c r="F265" t="s">
        <v>803</v>
      </c>
      <c r="G265" t="s">
        <v>812</v>
      </c>
      <c r="H265">
        <v>7</v>
      </c>
      <c r="I265">
        <v>4</v>
      </c>
      <c r="J265" t="s">
        <v>787</v>
      </c>
      <c r="K265" t="s">
        <v>23</v>
      </c>
      <c r="L265" t="s">
        <v>41</v>
      </c>
      <c r="M265">
        <v>1</v>
      </c>
      <c r="N265" t="s">
        <v>238</v>
      </c>
      <c r="O265" t="s">
        <v>525</v>
      </c>
    </row>
    <row r="266" spans="1:15" x14ac:dyDescent="0.3">
      <c r="A266" t="s">
        <v>813</v>
      </c>
      <c r="B266" t="s">
        <v>48</v>
      </c>
      <c r="C266" t="s">
        <v>55</v>
      </c>
      <c r="D266" t="s">
        <v>18</v>
      </c>
      <c r="E266" t="s">
        <v>187</v>
      </c>
      <c r="F266" t="s">
        <v>725</v>
      </c>
      <c r="G266" t="s">
        <v>814</v>
      </c>
      <c r="H266">
        <v>5.2</v>
      </c>
      <c r="I266">
        <v>1</v>
      </c>
      <c r="J266" t="s">
        <v>33</v>
      </c>
      <c r="K266" t="s">
        <v>51</v>
      </c>
      <c r="L266" t="s">
        <v>41</v>
      </c>
      <c r="M266">
        <v>1</v>
      </c>
      <c r="N266" t="s">
        <v>157</v>
      </c>
      <c r="O266" t="s">
        <v>815</v>
      </c>
    </row>
    <row r="267" spans="1:15" x14ac:dyDescent="0.3">
      <c r="A267" t="s">
        <v>816</v>
      </c>
      <c r="B267" t="s">
        <v>80</v>
      </c>
      <c r="C267" t="s">
        <v>817</v>
      </c>
      <c r="D267" t="s">
        <v>18</v>
      </c>
      <c r="E267" t="s">
        <v>19</v>
      </c>
      <c r="F267" t="s">
        <v>440</v>
      </c>
      <c r="G267" t="s">
        <v>505</v>
      </c>
      <c r="H267">
        <v>8.5</v>
      </c>
      <c r="I267">
        <v>4</v>
      </c>
      <c r="J267" t="s">
        <v>33</v>
      </c>
      <c r="K267" t="s">
        <v>23</v>
      </c>
      <c r="L267" t="s">
        <v>24</v>
      </c>
      <c r="M267">
        <v>0</v>
      </c>
      <c r="N267" t="s">
        <v>83</v>
      </c>
      <c r="O267" t="s">
        <v>818</v>
      </c>
    </row>
    <row r="268" spans="1:15" x14ac:dyDescent="0.3">
      <c r="A268" t="s">
        <v>819</v>
      </c>
      <c r="B268" t="s">
        <v>16</v>
      </c>
      <c r="C268" t="s">
        <v>106</v>
      </c>
      <c r="D268" t="s">
        <v>18</v>
      </c>
      <c r="E268" t="s">
        <v>69</v>
      </c>
      <c r="F268" t="s">
        <v>142</v>
      </c>
      <c r="G268" t="s">
        <v>661</v>
      </c>
      <c r="H268">
        <v>8.9</v>
      </c>
      <c r="I268">
        <v>1</v>
      </c>
      <c r="J268" t="s">
        <v>33</v>
      </c>
      <c r="K268" t="s">
        <v>51</v>
      </c>
      <c r="L268" t="s">
        <v>41</v>
      </c>
      <c r="M268">
        <v>3</v>
      </c>
      <c r="N268" t="s">
        <v>35</v>
      </c>
      <c r="O268" t="s">
        <v>820</v>
      </c>
    </row>
    <row r="269" spans="1:15" x14ac:dyDescent="0.3">
      <c r="A269" t="s">
        <v>821</v>
      </c>
      <c r="B269" t="s">
        <v>86</v>
      </c>
      <c r="C269" t="s">
        <v>17</v>
      </c>
      <c r="D269" t="s">
        <v>18</v>
      </c>
      <c r="E269" t="s">
        <v>107</v>
      </c>
      <c r="F269" t="s">
        <v>539</v>
      </c>
      <c r="H269">
        <v>7</v>
      </c>
      <c r="I269">
        <v>2</v>
      </c>
      <c r="J269" t="s">
        <v>59</v>
      </c>
      <c r="K269" t="s">
        <v>327</v>
      </c>
      <c r="L269" t="s">
        <v>60</v>
      </c>
      <c r="M269">
        <v>1</v>
      </c>
      <c r="N269" t="s">
        <v>83</v>
      </c>
      <c r="O269" t="s">
        <v>822</v>
      </c>
    </row>
    <row r="270" spans="1:15" x14ac:dyDescent="0.3">
      <c r="A270" t="s">
        <v>823</v>
      </c>
      <c r="B270" t="s">
        <v>86</v>
      </c>
      <c r="C270" t="s">
        <v>150</v>
      </c>
      <c r="D270" t="s">
        <v>18</v>
      </c>
      <c r="E270" t="s">
        <v>38</v>
      </c>
      <c r="F270" t="s">
        <v>824</v>
      </c>
      <c r="G270" t="s">
        <v>21</v>
      </c>
      <c r="H270">
        <v>8.5</v>
      </c>
      <c r="I270">
        <v>4</v>
      </c>
      <c r="J270" t="s">
        <v>66</v>
      </c>
      <c r="K270" t="s">
        <v>23</v>
      </c>
      <c r="L270" t="s">
        <v>143</v>
      </c>
      <c r="M270">
        <v>3</v>
      </c>
      <c r="N270" t="s">
        <v>61</v>
      </c>
      <c r="O270" t="s">
        <v>825</v>
      </c>
    </row>
    <row r="271" spans="1:15" x14ac:dyDescent="0.3">
      <c r="A271" t="s">
        <v>826</v>
      </c>
      <c r="B271" t="s">
        <v>28</v>
      </c>
      <c r="C271" t="s">
        <v>17</v>
      </c>
      <c r="D271" t="s">
        <v>29</v>
      </c>
      <c r="E271" t="s">
        <v>146</v>
      </c>
      <c r="F271" t="s">
        <v>44</v>
      </c>
      <c r="G271" t="s">
        <v>827</v>
      </c>
      <c r="H271">
        <v>8.4</v>
      </c>
      <c r="I271">
        <v>2</v>
      </c>
      <c r="J271" t="s">
        <v>22</v>
      </c>
      <c r="K271" t="s">
        <v>23</v>
      </c>
      <c r="L271" t="s">
        <v>41</v>
      </c>
      <c r="M271">
        <v>0</v>
      </c>
      <c r="N271" t="s">
        <v>35</v>
      </c>
      <c r="O271" t="s">
        <v>828</v>
      </c>
    </row>
    <row r="272" spans="1:15" x14ac:dyDescent="0.3">
      <c r="A272" t="s">
        <v>816</v>
      </c>
      <c r="B272" t="s">
        <v>80</v>
      </c>
      <c r="C272" t="s">
        <v>817</v>
      </c>
      <c r="D272" t="s">
        <v>18</v>
      </c>
      <c r="E272" t="s">
        <v>19</v>
      </c>
      <c r="F272" t="s">
        <v>440</v>
      </c>
      <c r="G272" t="s">
        <v>505</v>
      </c>
      <c r="H272">
        <v>8.5</v>
      </c>
      <c r="I272">
        <v>3</v>
      </c>
      <c r="J272" t="s">
        <v>33</v>
      </c>
      <c r="K272" t="s">
        <v>23</v>
      </c>
      <c r="L272" t="s">
        <v>24</v>
      </c>
      <c r="M272">
        <v>0</v>
      </c>
      <c r="N272" t="s">
        <v>83</v>
      </c>
      <c r="O272" t="s">
        <v>818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61"/>
  <sheetViews>
    <sheetView topLeftCell="B1" workbookViewId="0">
      <selection activeCell="G47" sqref="G47"/>
    </sheetView>
  </sheetViews>
  <sheetFormatPr defaultRowHeight="14.4" x14ac:dyDescent="0.3"/>
  <cols>
    <col min="1" max="1" width="10" bestFit="1" customWidth="1"/>
    <col min="2" max="2" width="9.5546875" bestFit="1" customWidth="1"/>
    <col min="3" max="3" width="16.6640625" bestFit="1" customWidth="1"/>
    <col min="4" max="4" width="6.88671875" bestFit="1" customWidth="1"/>
    <col min="5" max="5" width="4" bestFit="1" customWidth="1"/>
    <col min="6" max="7" width="17" bestFit="1" customWidth="1"/>
    <col min="8" max="8" width="11.109375" bestFit="1" customWidth="1"/>
    <col min="9" max="9" width="17.5546875" bestFit="1" customWidth="1"/>
    <col min="10" max="10" width="15.44140625" bestFit="1" customWidth="1"/>
    <col min="11" max="11" width="10.33203125" bestFit="1" customWidth="1"/>
    <col min="12" max="12" width="8.77734375" bestFit="1" customWidth="1"/>
    <col min="13" max="13" width="13.21875" bestFit="1" customWidth="1"/>
    <col min="14" max="14" width="12.88671875" bestFit="1" customWidth="1"/>
    <col min="15" max="15" width="10.109375" bestFit="1" customWidth="1"/>
  </cols>
  <sheetData>
    <row r="1" spans="1:15" x14ac:dyDescent="0.3">
      <c r="A1" s="1" t="s">
        <v>0</v>
      </c>
      <c r="B1" s="1" t="s">
        <v>1</v>
      </c>
      <c r="C1" s="1" t="s">
        <v>2</v>
      </c>
      <c r="D1" s="1" t="s">
        <v>3</v>
      </c>
      <c r="E1" s="1" t="s">
        <v>4</v>
      </c>
      <c r="F1" s="1" t="s">
        <v>5</v>
      </c>
      <c r="G1" s="8" t="s">
        <v>6</v>
      </c>
      <c r="H1" s="1" t="s">
        <v>7</v>
      </c>
      <c r="I1" s="1" t="s">
        <v>8</v>
      </c>
      <c r="J1" s="1" t="s">
        <v>9</v>
      </c>
      <c r="K1" s="1" t="s">
        <v>10</v>
      </c>
      <c r="L1" s="1" t="s">
        <v>11</v>
      </c>
      <c r="M1" s="1" t="s">
        <v>12</v>
      </c>
      <c r="N1" s="1" t="s">
        <v>13</v>
      </c>
      <c r="O1" s="1" t="s">
        <v>14</v>
      </c>
    </row>
    <row r="2" spans="1:15" x14ac:dyDescent="0.3">
      <c r="A2" t="s">
        <v>15</v>
      </c>
      <c r="B2" t="s">
        <v>16</v>
      </c>
      <c r="C2" t="s">
        <v>17</v>
      </c>
      <c r="D2" t="s">
        <v>18</v>
      </c>
      <c r="E2">
        <v>21</v>
      </c>
      <c r="F2">
        <v>16.5</v>
      </c>
      <c r="G2">
        <v>34.1</v>
      </c>
      <c r="H2">
        <v>5.5</v>
      </c>
      <c r="I2">
        <v>2</v>
      </c>
      <c r="J2">
        <v>3</v>
      </c>
      <c r="K2" t="s">
        <v>23</v>
      </c>
      <c r="L2" t="s">
        <v>24</v>
      </c>
      <c r="M2">
        <v>0</v>
      </c>
      <c r="N2" t="s">
        <v>25</v>
      </c>
      <c r="O2">
        <v>79.3</v>
      </c>
    </row>
    <row r="3" spans="1:15" x14ac:dyDescent="0.3">
      <c r="A3" t="s">
        <v>27</v>
      </c>
      <c r="B3" t="s">
        <v>28</v>
      </c>
      <c r="C3" t="s">
        <v>17</v>
      </c>
      <c r="D3" t="s">
        <v>29</v>
      </c>
      <c r="E3">
        <v>29</v>
      </c>
      <c r="F3">
        <v>25.1</v>
      </c>
      <c r="G3">
        <v>5</v>
      </c>
      <c r="H3">
        <v>6.6</v>
      </c>
      <c r="I3">
        <v>3</v>
      </c>
      <c r="J3">
        <v>4</v>
      </c>
      <c r="K3" t="s">
        <v>23</v>
      </c>
      <c r="L3" t="s">
        <v>34</v>
      </c>
      <c r="M3">
        <v>1</v>
      </c>
      <c r="N3" t="s">
        <v>35</v>
      </c>
      <c r="O3">
        <v>91.7</v>
      </c>
    </row>
    <row r="4" spans="1:15" x14ac:dyDescent="0.3">
      <c r="A4" t="s">
        <v>37</v>
      </c>
      <c r="B4" t="s">
        <v>16</v>
      </c>
      <c r="C4" t="s">
        <v>17</v>
      </c>
      <c r="D4" t="s">
        <v>18</v>
      </c>
      <c r="E4">
        <v>25</v>
      </c>
      <c r="F4">
        <v>14.1</v>
      </c>
      <c r="G4">
        <v>73.2</v>
      </c>
      <c r="H4">
        <v>7.7</v>
      </c>
      <c r="I4">
        <v>0</v>
      </c>
      <c r="J4">
        <v>4</v>
      </c>
      <c r="K4" t="s">
        <v>23</v>
      </c>
      <c r="L4" t="s">
        <v>41</v>
      </c>
      <c r="M4">
        <v>0</v>
      </c>
      <c r="O4">
        <v>79.3</v>
      </c>
    </row>
    <row r="5" spans="1:15" x14ac:dyDescent="0.3">
      <c r="A5" t="s">
        <v>42</v>
      </c>
      <c r="B5" t="s">
        <v>16</v>
      </c>
      <c r="C5" t="s">
        <v>43</v>
      </c>
      <c r="D5" t="s">
        <v>29</v>
      </c>
      <c r="E5">
        <v>25</v>
      </c>
      <c r="G5">
        <v>13.7</v>
      </c>
      <c r="H5">
        <v>6.3</v>
      </c>
      <c r="I5">
        <v>2</v>
      </c>
      <c r="J5">
        <v>4</v>
      </c>
      <c r="K5" t="s">
        <v>23</v>
      </c>
      <c r="L5" t="s">
        <v>34</v>
      </c>
      <c r="M5">
        <v>1</v>
      </c>
      <c r="O5">
        <v>90.6</v>
      </c>
    </row>
    <row r="6" spans="1:15" x14ac:dyDescent="0.3">
      <c r="A6" t="s">
        <v>47</v>
      </c>
      <c r="B6" t="s">
        <v>48</v>
      </c>
      <c r="C6" t="s">
        <v>43</v>
      </c>
      <c r="D6" t="s">
        <v>18</v>
      </c>
      <c r="E6">
        <v>25</v>
      </c>
      <c r="F6">
        <v>19.899999999999999</v>
      </c>
      <c r="G6">
        <v>17.2</v>
      </c>
      <c r="H6">
        <v>6.9</v>
      </c>
      <c r="I6">
        <v>3</v>
      </c>
      <c r="J6">
        <v>3</v>
      </c>
      <c r="K6" t="s">
        <v>51</v>
      </c>
      <c r="L6" t="s">
        <v>24</v>
      </c>
      <c r="M6">
        <v>0</v>
      </c>
      <c r="N6" t="s">
        <v>829</v>
      </c>
      <c r="O6">
        <v>86.8</v>
      </c>
    </row>
    <row r="7" spans="1:15" x14ac:dyDescent="0.3">
      <c r="A7" t="s">
        <v>54</v>
      </c>
      <c r="B7" t="s">
        <v>16</v>
      </c>
      <c r="C7" t="s">
        <v>55</v>
      </c>
      <c r="D7" t="s">
        <v>18</v>
      </c>
      <c r="E7">
        <v>22</v>
      </c>
      <c r="F7">
        <v>8.5</v>
      </c>
      <c r="G7">
        <v>29.6</v>
      </c>
      <c r="H7">
        <v>5.2</v>
      </c>
      <c r="I7">
        <v>4</v>
      </c>
      <c r="J7">
        <v>2</v>
      </c>
      <c r="K7" t="s">
        <v>23</v>
      </c>
      <c r="L7" t="s">
        <v>60</v>
      </c>
      <c r="M7">
        <v>1</v>
      </c>
      <c r="N7" t="s">
        <v>61</v>
      </c>
      <c r="O7">
        <v>59.1</v>
      </c>
    </row>
    <row r="8" spans="1:15" x14ac:dyDescent="0.3">
      <c r="A8" t="s">
        <v>63</v>
      </c>
      <c r="B8" t="s">
        <v>16</v>
      </c>
      <c r="C8" t="s">
        <v>17</v>
      </c>
      <c r="D8" t="s">
        <v>18</v>
      </c>
      <c r="E8">
        <v>21</v>
      </c>
      <c r="F8">
        <v>20.399999999999999</v>
      </c>
      <c r="G8">
        <v>56.1</v>
      </c>
      <c r="H8">
        <v>6.2</v>
      </c>
      <c r="I8">
        <v>3</v>
      </c>
      <c r="J8">
        <v>5</v>
      </c>
      <c r="K8" t="s">
        <v>23</v>
      </c>
      <c r="L8" t="s">
        <v>41</v>
      </c>
      <c r="M8">
        <v>0</v>
      </c>
      <c r="N8" t="s">
        <v>35</v>
      </c>
      <c r="O8">
        <v>92.5</v>
      </c>
    </row>
    <row r="9" spans="1:15" x14ac:dyDescent="0.3">
      <c r="A9" t="s">
        <v>830</v>
      </c>
      <c r="B9" t="s">
        <v>16</v>
      </c>
      <c r="C9" t="s">
        <v>17</v>
      </c>
      <c r="D9" t="s">
        <v>29</v>
      </c>
      <c r="E9">
        <v>23</v>
      </c>
      <c r="F9">
        <v>14</v>
      </c>
      <c r="G9">
        <v>51.7</v>
      </c>
      <c r="H9">
        <v>7.4</v>
      </c>
      <c r="I9">
        <v>3</v>
      </c>
      <c r="J9">
        <v>3</v>
      </c>
      <c r="K9" t="s">
        <v>23</v>
      </c>
      <c r="L9" t="s">
        <v>41</v>
      </c>
      <c r="M9">
        <v>3</v>
      </c>
      <c r="N9" t="s">
        <v>35</v>
      </c>
      <c r="O9">
        <v>72.599999999999994</v>
      </c>
    </row>
    <row r="10" spans="1:15" x14ac:dyDescent="0.3">
      <c r="A10" t="s">
        <v>73</v>
      </c>
      <c r="B10" t="s">
        <v>28</v>
      </c>
      <c r="C10" t="s">
        <v>17</v>
      </c>
      <c r="D10" t="s">
        <v>18</v>
      </c>
      <c r="E10">
        <v>20</v>
      </c>
      <c r="F10">
        <v>17.600000000000001</v>
      </c>
      <c r="G10">
        <v>21.8</v>
      </c>
      <c r="H10">
        <v>6.1</v>
      </c>
      <c r="I10">
        <v>5</v>
      </c>
      <c r="J10">
        <v>4</v>
      </c>
      <c r="K10" t="s">
        <v>23</v>
      </c>
      <c r="L10" t="s">
        <v>77</v>
      </c>
      <c r="M10">
        <v>1</v>
      </c>
      <c r="N10" t="s">
        <v>25</v>
      </c>
      <c r="O10">
        <v>88.6</v>
      </c>
    </row>
    <row r="11" spans="1:15" x14ac:dyDescent="0.3">
      <c r="A11" t="s">
        <v>79</v>
      </c>
      <c r="B11" t="s">
        <v>80</v>
      </c>
      <c r="C11" t="s">
        <v>17</v>
      </c>
      <c r="D11" t="s">
        <v>18</v>
      </c>
      <c r="E11">
        <v>22</v>
      </c>
      <c r="F11">
        <v>18.7</v>
      </c>
      <c r="G11">
        <v>15</v>
      </c>
      <c r="H11">
        <v>7.3</v>
      </c>
      <c r="I11">
        <v>4</v>
      </c>
      <c r="J11">
        <v>4</v>
      </c>
      <c r="K11" t="s">
        <v>51</v>
      </c>
      <c r="L11" t="s">
        <v>60</v>
      </c>
      <c r="M11">
        <v>0</v>
      </c>
      <c r="N11" t="s">
        <v>83</v>
      </c>
      <c r="O11">
        <v>84.9</v>
      </c>
    </row>
    <row r="12" spans="1:15" x14ac:dyDescent="0.3">
      <c r="A12" t="s">
        <v>85</v>
      </c>
      <c r="B12" t="s">
        <v>86</v>
      </c>
      <c r="C12" t="s">
        <v>43</v>
      </c>
      <c r="D12" t="s">
        <v>29</v>
      </c>
      <c r="E12">
        <v>23</v>
      </c>
      <c r="F12">
        <v>12.2</v>
      </c>
      <c r="G12">
        <v>58.2</v>
      </c>
      <c r="H12">
        <v>7.3</v>
      </c>
      <c r="I12">
        <v>7</v>
      </c>
      <c r="J12">
        <v>3</v>
      </c>
      <c r="K12" t="s">
        <v>23</v>
      </c>
      <c r="L12" t="s">
        <v>60</v>
      </c>
      <c r="M12">
        <v>2</v>
      </c>
      <c r="O12">
        <v>71.900000000000006</v>
      </c>
    </row>
    <row r="13" spans="1:15" x14ac:dyDescent="0.3">
      <c r="A13" t="s">
        <v>91</v>
      </c>
      <c r="B13" t="s">
        <v>16</v>
      </c>
      <c r="C13" t="s">
        <v>17</v>
      </c>
      <c r="D13" t="s">
        <v>18</v>
      </c>
      <c r="E13">
        <v>27</v>
      </c>
      <c r="F13">
        <v>21.9</v>
      </c>
      <c r="G13">
        <v>22.8</v>
      </c>
      <c r="H13">
        <v>6.7</v>
      </c>
      <c r="I13">
        <v>6</v>
      </c>
      <c r="J13">
        <v>5</v>
      </c>
      <c r="K13" t="s">
        <v>23</v>
      </c>
      <c r="L13" t="s">
        <v>41</v>
      </c>
      <c r="M13">
        <v>0</v>
      </c>
      <c r="N13" t="s">
        <v>83</v>
      </c>
      <c r="O13">
        <v>87.7</v>
      </c>
    </row>
    <row r="14" spans="1:15" x14ac:dyDescent="0.3">
      <c r="A14" t="s">
        <v>97</v>
      </c>
      <c r="B14" t="s">
        <v>80</v>
      </c>
      <c r="C14" t="s">
        <v>43</v>
      </c>
      <c r="D14" t="s">
        <v>29</v>
      </c>
      <c r="E14">
        <v>20</v>
      </c>
      <c r="G14">
        <v>15.7</v>
      </c>
      <c r="H14">
        <v>6.1</v>
      </c>
      <c r="I14">
        <v>2</v>
      </c>
      <c r="J14">
        <v>5</v>
      </c>
      <c r="K14" t="s">
        <v>23</v>
      </c>
      <c r="L14" t="s">
        <v>24</v>
      </c>
      <c r="M14">
        <v>0</v>
      </c>
      <c r="N14" t="s">
        <v>35</v>
      </c>
      <c r="O14">
        <v>55.6</v>
      </c>
    </row>
    <row r="15" spans="1:15" x14ac:dyDescent="0.3">
      <c r="A15" t="s">
        <v>101</v>
      </c>
      <c r="B15" t="s">
        <v>16</v>
      </c>
      <c r="C15" t="s">
        <v>17</v>
      </c>
      <c r="D15" t="s">
        <v>18</v>
      </c>
      <c r="E15">
        <v>23</v>
      </c>
      <c r="F15">
        <v>12.3</v>
      </c>
      <c r="G15">
        <v>39.200000000000003</v>
      </c>
      <c r="H15">
        <v>6.3</v>
      </c>
      <c r="I15">
        <v>5</v>
      </c>
      <c r="J15">
        <v>5</v>
      </c>
      <c r="K15" t="s">
        <v>23</v>
      </c>
      <c r="L15" t="s">
        <v>41</v>
      </c>
      <c r="M15">
        <v>0</v>
      </c>
      <c r="N15" t="s">
        <v>61</v>
      </c>
      <c r="O15">
        <v>78.599999999999994</v>
      </c>
    </row>
    <row r="16" spans="1:15" x14ac:dyDescent="0.3">
      <c r="A16" t="s">
        <v>105</v>
      </c>
      <c r="B16" t="s">
        <v>80</v>
      </c>
      <c r="C16" t="s">
        <v>43</v>
      </c>
      <c r="D16" t="s">
        <v>18</v>
      </c>
      <c r="E16">
        <v>26</v>
      </c>
      <c r="F16">
        <v>13.1</v>
      </c>
      <c r="G16">
        <v>63.8</v>
      </c>
      <c r="H16">
        <v>7.9</v>
      </c>
      <c r="I16">
        <v>1</v>
      </c>
      <c r="J16">
        <v>5</v>
      </c>
      <c r="K16" t="s">
        <v>23</v>
      </c>
      <c r="L16" t="s">
        <v>41</v>
      </c>
      <c r="M16">
        <v>0</v>
      </c>
      <c r="N16" t="s">
        <v>829</v>
      </c>
      <c r="O16">
        <v>74.3</v>
      </c>
    </row>
    <row r="17" spans="1:15" x14ac:dyDescent="0.3">
      <c r="A17" t="s">
        <v>112</v>
      </c>
      <c r="B17" t="s">
        <v>86</v>
      </c>
      <c r="C17" t="s">
        <v>55</v>
      </c>
      <c r="D17" t="s">
        <v>29</v>
      </c>
      <c r="E17">
        <v>25</v>
      </c>
      <c r="F17">
        <v>14.7</v>
      </c>
      <c r="G17">
        <v>13.6</v>
      </c>
      <c r="H17">
        <v>6.9</v>
      </c>
      <c r="I17">
        <v>4</v>
      </c>
      <c r="J17">
        <v>3</v>
      </c>
      <c r="K17" t="s">
        <v>23</v>
      </c>
      <c r="L17" t="s">
        <v>41</v>
      </c>
      <c r="M17">
        <v>0</v>
      </c>
      <c r="O17">
        <v>77.2</v>
      </c>
    </row>
    <row r="18" spans="1:15" x14ac:dyDescent="0.3">
      <c r="A18" t="s">
        <v>116</v>
      </c>
      <c r="B18" t="s">
        <v>80</v>
      </c>
      <c r="C18" t="s">
        <v>43</v>
      </c>
      <c r="D18" t="s">
        <v>18</v>
      </c>
      <c r="E18">
        <v>22</v>
      </c>
      <c r="F18">
        <v>16.600000000000001</v>
      </c>
      <c r="G18">
        <v>59.1</v>
      </c>
      <c r="H18">
        <v>7.5</v>
      </c>
      <c r="I18">
        <v>2</v>
      </c>
      <c r="J18">
        <v>3</v>
      </c>
      <c r="K18" t="s">
        <v>23</v>
      </c>
      <c r="L18" t="s">
        <v>41</v>
      </c>
      <c r="M18">
        <v>0</v>
      </c>
      <c r="N18" t="s">
        <v>83</v>
      </c>
      <c r="O18">
        <v>66.8</v>
      </c>
    </row>
    <row r="19" spans="1:15" x14ac:dyDescent="0.3">
      <c r="A19" t="s">
        <v>119</v>
      </c>
      <c r="B19" t="s">
        <v>16</v>
      </c>
      <c r="C19" t="s">
        <v>17</v>
      </c>
      <c r="D19" t="s">
        <v>29</v>
      </c>
      <c r="E19">
        <v>20</v>
      </c>
      <c r="F19">
        <v>18.600000000000001</v>
      </c>
      <c r="G19">
        <v>44.3</v>
      </c>
      <c r="H19">
        <v>7</v>
      </c>
      <c r="I19">
        <v>6</v>
      </c>
      <c r="J19">
        <v>2</v>
      </c>
      <c r="K19" t="s">
        <v>23</v>
      </c>
      <c r="L19" t="s">
        <v>34</v>
      </c>
      <c r="M19">
        <v>0</v>
      </c>
      <c r="N19" t="s">
        <v>35</v>
      </c>
      <c r="O19">
        <v>83.7</v>
      </c>
    </row>
    <row r="20" spans="1:15" x14ac:dyDescent="0.3">
      <c r="A20" t="s">
        <v>123</v>
      </c>
      <c r="B20" t="s">
        <v>80</v>
      </c>
      <c r="C20" t="s">
        <v>43</v>
      </c>
      <c r="D20" t="s">
        <v>29</v>
      </c>
      <c r="E20">
        <v>25</v>
      </c>
      <c r="F20">
        <v>25.9</v>
      </c>
      <c r="G20">
        <v>22.4</v>
      </c>
      <c r="H20">
        <v>7.1</v>
      </c>
      <c r="I20">
        <v>4</v>
      </c>
      <c r="J20">
        <v>3</v>
      </c>
      <c r="K20" t="s">
        <v>23</v>
      </c>
      <c r="L20" t="s">
        <v>41</v>
      </c>
      <c r="M20">
        <v>0</v>
      </c>
      <c r="N20" t="s">
        <v>61</v>
      </c>
      <c r="O20">
        <v>87.4</v>
      </c>
    </row>
    <row r="21" spans="1:15" x14ac:dyDescent="0.3">
      <c r="A21" t="s">
        <v>128</v>
      </c>
      <c r="B21" t="s">
        <v>28</v>
      </c>
      <c r="C21" t="s">
        <v>17</v>
      </c>
      <c r="D21" t="s">
        <v>18</v>
      </c>
      <c r="E21">
        <v>23</v>
      </c>
      <c r="F21">
        <v>24.3</v>
      </c>
      <c r="G21">
        <v>5</v>
      </c>
      <c r="H21">
        <v>6</v>
      </c>
      <c r="I21">
        <v>5</v>
      </c>
      <c r="J21">
        <v>5</v>
      </c>
      <c r="K21" t="s">
        <v>51</v>
      </c>
      <c r="L21" t="s">
        <v>34</v>
      </c>
      <c r="M21">
        <v>1</v>
      </c>
      <c r="N21" t="s">
        <v>35</v>
      </c>
      <c r="O21">
        <v>91.6</v>
      </c>
    </row>
    <row r="22" spans="1:15" x14ac:dyDescent="0.3">
      <c r="A22" t="s">
        <v>132</v>
      </c>
      <c r="B22" t="s">
        <v>16</v>
      </c>
      <c r="C22" t="s">
        <v>17</v>
      </c>
      <c r="D22" t="s">
        <v>18</v>
      </c>
      <c r="E22">
        <v>21</v>
      </c>
      <c r="F22">
        <v>21.2</v>
      </c>
      <c r="G22">
        <v>30.3</v>
      </c>
      <c r="H22">
        <v>7.2</v>
      </c>
      <c r="I22">
        <v>6</v>
      </c>
      <c r="J22">
        <v>5</v>
      </c>
      <c r="K22" t="s">
        <v>23</v>
      </c>
      <c r="L22" t="s">
        <v>77</v>
      </c>
      <c r="M22">
        <v>0</v>
      </c>
      <c r="N22" t="s">
        <v>35</v>
      </c>
      <c r="O22">
        <v>90</v>
      </c>
    </row>
    <row r="23" spans="1:15" x14ac:dyDescent="0.3">
      <c r="A23" t="s">
        <v>136</v>
      </c>
      <c r="B23" t="s">
        <v>48</v>
      </c>
      <c r="C23" t="s">
        <v>17</v>
      </c>
      <c r="D23" t="s">
        <v>18</v>
      </c>
      <c r="E23">
        <v>23</v>
      </c>
      <c r="F23">
        <v>9.5</v>
      </c>
      <c r="G23">
        <v>43.9</v>
      </c>
      <c r="H23">
        <v>6.6</v>
      </c>
      <c r="I23">
        <v>3</v>
      </c>
      <c r="J23">
        <v>5</v>
      </c>
      <c r="K23" t="s">
        <v>23</v>
      </c>
      <c r="L23" t="s">
        <v>60</v>
      </c>
      <c r="M23">
        <v>1</v>
      </c>
      <c r="N23" t="s">
        <v>83</v>
      </c>
      <c r="O23">
        <v>77</v>
      </c>
    </row>
    <row r="24" spans="1:15" x14ac:dyDescent="0.3">
      <c r="A24" t="s">
        <v>140</v>
      </c>
      <c r="B24" t="s">
        <v>16</v>
      </c>
      <c r="C24" t="s">
        <v>17</v>
      </c>
      <c r="D24" t="s">
        <v>29</v>
      </c>
      <c r="E24">
        <v>22</v>
      </c>
      <c r="F24">
        <v>6.4</v>
      </c>
      <c r="G24">
        <v>17.100000000000001</v>
      </c>
      <c r="H24">
        <v>7</v>
      </c>
      <c r="I24">
        <v>4</v>
      </c>
      <c r="J24">
        <v>3</v>
      </c>
      <c r="K24" t="s">
        <v>23</v>
      </c>
      <c r="L24" t="s">
        <v>34</v>
      </c>
      <c r="M24">
        <v>0</v>
      </c>
      <c r="N24" t="s">
        <v>35</v>
      </c>
      <c r="O24">
        <v>66.900000000000006</v>
      </c>
    </row>
    <row r="25" spans="1:15" x14ac:dyDescent="0.3">
      <c r="A25" t="s">
        <v>145</v>
      </c>
      <c r="B25" t="s">
        <v>16</v>
      </c>
      <c r="C25" t="s">
        <v>55</v>
      </c>
      <c r="D25" t="s">
        <v>29</v>
      </c>
      <c r="E25">
        <v>24</v>
      </c>
      <c r="F25">
        <v>13.7</v>
      </c>
      <c r="G25">
        <v>111.7</v>
      </c>
      <c r="H25">
        <v>6.9</v>
      </c>
      <c r="I25">
        <v>1</v>
      </c>
      <c r="J25">
        <v>3</v>
      </c>
      <c r="K25" t="s">
        <v>23</v>
      </c>
      <c r="L25" t="s">
        <v>41</v>
      </c>
      <c r="M25">
        <v>2</v>
      </c>
      <c r="O25">
        <v>69.400000000000006</v>
      </c>
    </row>
    <row r="26" spans="1:15" x14ac:dyDescent="0.3">
      <c r="A26" t="s">
        <v>149</v>
      </c>
      <c r="B26" t="s">
        <v>16</v>
      </c>
      <c r="C26" t="s">
        <v>150</v>
      </c>
      <c r="D26" t="s">
        <v>18</v>
      </c>
      <c r="E26">
        <v>21</v>
      </c>
      <c r="F26">
        <v>18.3</v>
      </c>
      <c r="G26">
        <v>66.400000000000006</v>
      </c>
      <c r="H26">
        <v>8.6999999999999993</v>
      </c>
      <c r="I26">
        <v>4</v>
      </c>
      <c r="J26">
        <v>3</v>
      </c>
      <c r="K26" t="s">
        <v>23</v>
      </c>
      <c r="L26" t="s">
        <v>41</v>
      </c>
      <c r="M26">
        <v>0</v>
      </c>
      <c r="O26">
        <v>85.7</v>
      </c>
    </row>
    <row r="27" spans="1:15" x14ac:dyDescent="0.3">
      <c r="A27" t="s">
        <v>154</v>
      </c>
      <c r="B27" t="s">
        <v>48</v>
      </c>
      <c r="C27" t="s">
        <v>17</v>
      </c>
      <c r="D27" t="s">
        <v>29</v>
      </c>
      <c r="E27">
        <v>24</v>
      </c>
      <c r="F27">
        <v>25.7</v>
      </c>
      <c r="G27">
        <v>10.8</v>
      </c>
      <c r="H27">
        <v>6.1</v>
      </c>
      <c r="I27">
        <v>3</v>
      </c>
      <c r="J27">
        <v>4</v>
      </c>
      <c r="K27" t="s">
        <v>23</v>
      </c>
      <c r="L27" t="s">
        <v>77</v>
      </c>
      <c r="M27">
        <v>2</v>
      </c>
      <c r="N27" t="s">
        <v>829</v>
      </c>
      <c r="O27">
        <v>80.3</v>
      </c>
    </row>
    <row r="28" spans="1:15" x14ac:dyDescent="0.3">
      <c r="A28" t="s">
        <v>159</v>
      </c>
      <c r="B28" t="s">
        <v>48</v>
      </c>
      <c r="C28" t="s">
        <v>43</v>
      </c>
      <c r="D28" t="s">
        <v>18</v>
      </c>
      <c r="E28">
        <v>24</v>
      </c>
      <c r="F28">
        <v>21.5</v>
      </c>
      <c r="G28">
        <v>8.4</v>
      </c>
      <c r="H28">
        <v>7</v>
      </c>
      <c r="I28">
        <v>7</v>
      </c>
      <c r="J28">
        <v>5</v>
      </c>
      <c r="K28" t="s">
        <v>23</v>
      </c>
      <c r="L28" t="s">
        <v>41</v>
      </c>
      <c r="M28">
        <v>1</v>
      </c>
      <c r="N28" t="s">
        <v>829</v>
      </c>
      <c r="O28">
        <v>91.7</v>
      </c>
    </row>
    <row r="29" spans="1:15" x14ac:dyDescent="0.3">
      <c r="A29" t="s">
        <v>162</v>
      </c>
      <c r="B29" t="s">
        <v>80</v>
      </c>
      <c r="C29" t="s">
        <v>43</v>
      </c>
      <c r="D29" t="s">
        <v>18</v>
      </c>
      <c r="E29">
        <v>23</v>
      </c>
      <c r="G29">
        <v>35.200000000000003</v>
      </c>
      <c r="H29">
        <v>6.6</v>
      </c>
      <c r="I29">
        <v>3</v>
      </c>
      <c r="J29">
        <v>3</v>
      </c>
      <c r="K29" t="s">
        <v>23</v>
      </c>
      <c r="L29" t="s">
        <v>77</v>
      </c>
      <c r="M29">
        <v>1</v>
      </c>
      <c r="N29" t="s">
        <v>35</v>
      </c>
      <c r="O29">
        <v>75.3</v>
      </c>
    </row>
    <row r="30" spans="1:15" x14ac:dyDescent="0.3">
      <c r="A30" t="s">
        <v>165</v>
      </c>
      <c r="B30" t="s">
        <v>86</v>
      </c>
      <c r="C30" t="s">
        <v>43</v>
      </c>
      <c r="D30" t="s">
        <v>29</v>
      </c>
      <c r="E30">
        <v>20</v>
      </c>
      <c r="F30">
        <v>9.3000000000000007</v>
      </c>
      <c r="G30">
        <v>31</v>
      </c>
      <c r="H30">
        <v>6.7</v>
      </c>
      <c r="I30">
        <v>1</v>
      </c>
      <c r="J30">
        <v>4</v>
      </c>
      <c r="K30" t="s">
        <v>51</v>
      </c>
      <c r="L30" t="s">
        <v>24</v>
      </c>
      <c r="M30">
        <v>0</v>
      </c>
      <c r="N30" t="s">
        <v>61</v>
      </c>
      <c r="O30">
        <v>74.599999999999994</v>
      </c>
    </row>
    <row r="31" spans="1:15" x14ac:dyDescent="0.3">
      <c r="A31" t="s">
        <v>169</v>
      </c>
      <c r="B31" t="s">
        <v>86</v>
      </c>
      <c r="C31" t="s">
        <v>17</v>
      </c>
      <c r="D31" t="s">
        <v>18</v>
      </c>
      <c r="E31">
        <v>20</v>
      </c>
      <c r="F31">
        <v>17.7</v>
      </c>
      <c r="G31">
        <v>43.8</v>
      </c>
      <c r="H31">
        <v>6.8</v>
      </c>
      <c r="I31">
        <v>7</v>
      </c>
      <c r="J31">
        <v>4</v>
      </c>
      <c r="K31" t="s">
        <v>23</v>
      </c>
      <c r="L31" t="s">
        <v>77</v>
      </c>
      <c r="M31">
        <v>0</v>
      </c>
      <c r="N31" t="s">
        <v>25</v>
      </c>
      <c r="O31">
        <v>77.2</v>
      </c>
    </row>
    <row r="32" spans="1:15" x14ac:dyDescent="0.3">
      <c r="A32" t="s">
        <v>172</v>
      </c>
      <c r="B32" t="s">
        <v>86</v>
      </c>
      <c r="C32" t="s">
        <v>17</v>
      </c>
      <c r="D32" t="s">
        <v>29</v>
      </c>
      <c r="E32">
        <v>29</v>
      </c>
      <c r="F32">
        <v>18.8</v>
      </c>
      <c r="G32">
        <v>16.2</v>
      </c>
      <c r="H32">
        <v>5.7</v>
      </c>
      <c r="I32">
        <v>0</v>
      </c>
      <c r="J32">
        <v>3</v>
      </c>
      <c r="K32" t="s">
        <v>51</v>
      </c>
      <c r="L32" t="s">
        <v>34</v>
      </c>
      <c r="M32">
        <v>1</v>
      </c>
      <c r="N32" t="s">
        <v>61</v>
      </c>
      <c r="O32">
        <v>76.599999999999994</v>
      </c>
    </row>
    <row r="33" spans="1:15" x14ac:dyDescent="0.3">
      <c r="A33" t="s">
        <v>176</v>
      </c>
      <c r="B33" t="s">
        <v>16</v>
      </c>
      <c r="C33" t="s">
        <v>55</v>
      </c>
      <c r="D33" t="s">
        <v>18</v>
      </c>
      <c r="E33">
        <v>24</v>
      </c>
      <c r="F33">
        <v>16.5</v>
      </c>
      <c r="G33">
        <v>83</v>
      </c>
      <c r="H33">
        <v>8.1</v>
      </c>
      <c r="I33">
        <v>2</v>
      </c>
      <c r="J33">
        <v>4</v>
      </c>
      <c r="K33" t="s">
        <v>23</v>
      </c>
      <c r="L33" t="s">
        <v>34</v>
      </c>
      <c r="M33">
        <v>0</v>
      </c>
      <c r="O33">
        <v>90</v>
      </c>
    </row>
    <row r="34" spans="1:15" x14ac:dyDescent="0.3">
      <c r="A34" t="s">
        <v>178</v>
      </c>
      <c r="B34" t="s">
        <v>48</v>
      </c>
      <c r="C34" t="s">
        <v>43</v>
      </c>
      <c r="D34" t="s">
        <v>18</v>
      </c>
      <c r="F34">
        <v>15.7</v>
      </c>
      <c r="G34">
        <v>52.6</v>
      </c>
      <c r="H34">
        <v>6.4</v>
      </c>
      <c r="I34">
        <v>2</v>
      </c>
      <c r="J34">
        <v>3</v>
      </c>
      <c r="K34" t="s">
        <v>51</v>
      </c>
      <c r="L34" t="s">
        <v>41</v>
      </c>
      <c r="M34">
        <v>1</v>
      </c>
      <c r="N34" t="s">
        <v>25</v>
      </c>
      <c r="O34">
        <v>85.1</v>
      </c>
    </row>
    <row r="35" spans="1:15" x14ac:dyDescent="0.3">
      <c r="A35" t="s">
        <v>182</v>
      </c>
      <c r="B35" t="s">
        <v>86</v>
      </c>
      <c r="C35" t="s">
        <v>17</v>
      </c>
      <c r="D35" t="s">
        <v>18</v>
      </c>
      <c r="E35">
        <v>25</v>
      </c>
      <c r="F35">
        <v>17.899999999999999</v>
      </c>
      <c r="G35">
        <v>12.2</v>
      </c>
      <c r="H35">
        <v>6.3</v>
      </c>
      <c r="I35">
        <v>3</v>
      </c>
      <c r="J35">
        <v>4</v>
      </c>
      <c r="K35" t="s">
        <v>23</v>
      </c>
      <c r="L35" t="s">
        <v>41</v>
      </c>
      <c r="M35">
        <v>0</v>
      </c>
      <c r="N35" t="s">
        <v>25</v>
      </c>
      <c r="O35">
        <v>84.2</v>
      </c>
    </row>
    <row r="36" spans="1:15" x14ac:dyDescent="0.3">
      <c r="A36" t="s">
        <v>186</v>
      </c>
      <c r="B36" t="s">
        <v>16</v>
      </c>
      <c r="C36" t="s">
        <v>55</v>
      </c>
      <c r="D36" t="s">
        <v>29</v>
      </c>
      <c r="E36">
        <v>28</v>
      </c>
      <c r="F36">
        <v>9.8000000000000007</v>
      </c>
      <c r="G36">
        <v>27.2</v>
      </c>
      <c r="H36">
        <v>7.8</v>
      </c>
      <c r="I36">
        <v>2</v>
      </c>
      <c r="J36">
        <v>2</v>
      </c>
      <c r="K36" t="s">
        <v>23</v>
      </c>
      <c r="L36" t="s">
        <v>60</v>
      </c>
      <c r="M36">
        <v>0</v>
      </c>
      <c r="N36" t="s">
        <v>61</v>
      </c>
      <c r="O36">
        <v>71</v>
      </c>
    </row>
    <row r="37" spans="1:15" x14ac:dyDescent="0.3">
      <c r="A37" t="s">
        <v>831</v>
      </c>
      <c r="B37" t="s">
        <v>80</v>
      </c>
      <c r="C37" t="s">
        <v>150</v>
      </c>
      <c r="D37" t="s">
        <v>18</v>
      </c>
      <c r="E37">
        <v>24</v>
      </c>
      <c r="F37">
        <v>19.7</v>
      </c>
      <c r="G37">
        <v>31.9</v>
      </c>
      <c r="H37">
        <v>7.6</v>
      </c>
      <c r="I37">
        <v>1</v>
      </c>
      <c r="J37">
        <v>4</v>
      </c>
      <c r="K37" t="s">
        <v>23</v>
      </c>
      <c r="L37" t="s">
        <v>41</v>
      </c>
      <c r="M37">
        <v>0</v>
      </c>
      <c r="N37" t="s">
        <v>61</v>
      </c>
      <c r="O37">
        <v>90.3</v>
      </c>
    </row>
    <row r="38" spans="1:15" x14ac:dyDescent="0.3">
      <c r="A38" t="s">
        <v>196</v>
      </c>
      <c r="B38" t="s">
        <v>16</v>
      </c>
      <c r="C38" t="s">
        <v>17</v>
      </c>
      <c r="D38" t="s">
        <v>29</v>
      </c>
      <c r="E38">
        <v>23</v>
      </c>
      <c r="F38">
        <v>12.7</v>
      </c>
      <c r="G38">
        <v>11.6</v>
      </c>
      <c r="H38">
        <v>6</v>
      </c>
      <c r="I38">
        <v>5</v>
      </c>
      <c r="J38">
        <v>2</v>
      </c>
      <c r="K38" t="s">
        <v>51</v>
      </c>
      <c r="L38" t="s">
        <v>60</v>
      </c>
      <c r="M38">
        <v>0</v>
      </c>
      <c r="N38" t="s">
        <v>35</v>
      </c>
      <c r="O38">
        <v>78.3</v>
      </c>
    </row>
    <row r="39" spans="1:15" x14ac:dyDescent="0.3">
      <c r="A39" t="s">
        <v>200</v>
      </c>
      <c r="B39" t="s">
        <v>48</v>
      </c>
      <c r="C39" t="s">
        <v>17</v>
      </c>
      <c r="D39" t="s">
        <v>18</v>
      </c>
      <c r="E39">
        <v>25</v>
      </c>
      <c r="F39">
        <v>16.600000000000001</v>
      </c>
      <c r="G39">
        <v>44.1</v>
      </c>
      <c r="H39">
        <v>6.6</v>
      </c>
      <c r="I39">
        <v>3</v>
      </c>
      <c r="J39">
        <v>5</v>
      </c>
      <c r="K39" t="s">
        <v>51</v>
      </c>
      <c r="L39" t="s">
        <v>41</v>
      </c>
      <c r="M39">
        <v>0</v>
      </c>
      <c r="N39" t="s">
        <v>35</v>
      </c>
      <c r="O39">
        <v>79.5</v>
      </c>
    </row>
    <row r="40" spans="1:15" x14ac:dyDescent="0.3">
      <c r="A40" t="s">
        <v>203</v>
      </c>
      <c r="B40" t="s">
        <v>28</v>
      </c>
      <c r="C40" t="s">
        <v>17</v>
      </c>
      <c r="D40" t="s">
        <v>29</v>
      </c>
      <c r="E40">
        <v>21</v>
      </c>
      <c r="F40">
        <v>14.1</v>
      </c>
      <c r="G40">
        <v>18.5</v>
      </c>
      <c r="H40">
        <v>8.1</v>
      </c>
      <c r="I40">
        <v>3</v>
      </c>
      <c r="J40">
        <v>5</v>
      </c>
      <c r="K40" t="s">
        <v>23</v>
      </c>
      <c r="L40" t="s">
        <v>24</v>
      </c>
      <c r="M40">
        <v>0</v>
      </c>
      <c r="N40" t="s">
        <v>35</v>
      </c>
      <c r="O40">
        <v>71.900000000000006</v>
      </c>
    </row>
    <row r="41" spans="1:15" x14ac:dyDescent="0.3">
      <c r="A41" t="s">
        <v>832</v>
      </c>
      <c r="B41" t="s">
        <v>16</v>
      </c>
      <c r="C41" t="s">
        <v>150</v>
      </c>
      <c r="D41" t="s">
        <v>29</v>
      </c>
      <c r="E41">
        <v>25</v>
      </c>
      <c r="F41">
        <v>2</v>
      </c>
      <c r="G41">
        <v>50.1</v>
      </c>
      <c r="H41">
        <v>8</v>
      </c>
      <c r="I41">
        <v>3</v>
      </c>
      <c r="J41">
        <v>4</v>
      </c>
      <c r="K41" t="s">
        <v>51</v>
      </c>
      <c r="L41" t="s">
        <v>41</v>
      </c>
      <c r="M41">
        <v>3</v>
      </c>
      <c r="N41" t="s">
        <v>61</v>
      </c>
      <c r="O41">
        <v>80.2</v>
      </c>
    </row>
    <row r="42" spans="1:15" x14ac:dyDescent="0.3">
      <c r="A42" t="s">
        <v>209</v>
      </c>
      <c r="B42" t="s">
        <v>80</v>
      </c>
      <c r="C42" t="s">
        <v>210</v>
      </c>
      <c r="D42" t="s">
        <v>18</v>
      </c>
      <c r="E42">
        <v>21</v>
      </c>
      <c r="F42">
        <v>14.8</v>
      </c>
      <c r="G42">
        <v>9.6999999999999993</v>
      </c>
      <c r="H42">
        <v>5.6</v>
      </c>
      <c r="I42">
        <v>0</v>
      </c>
      <c r="J42">
        <v>4</v>
      </c>
      <c r="K42" t="s">
        <v>51</v>
      </c>
      <c r="L42" t="s">
        <v>24</v>
      </c>
      <c r="M42">
        <v>1</v>
      </c>
      <c r="O42">
        <v>64.2</v>
      </c>
    </row>
    <row r="43" spans="1:15" x14ac:dyDescent="0.3">
      <c r="A43" t="s">
        <v>214</v>
      </c>
      <c r="B43" t="s">
        <v>16</v>
      </c>
      <c r="C43" t="s">
        <v>210</v>
      </c>
      <c r="D43" t="s">
        <v>29</v>
      </c>
      <c r="E43">
        <v>24</v>
      </c>
      <c r="F43">
        <v>18.600000000000001</v>
      </c>
      <c r="G43">
        <v>74.900000000000006</v>
      </c>
      <c r="H43">
        <v>5.6</v>
      </c>
      <c r="I43">
        <v>3</v>
      </c>
      <c r="J43">
        <v>3</v>
      </c>
      <c r="K43" t="s">
        <v>23</v>
      </c>
      <c r="L43" t="s">
        <v>77</v>
      </c>
      <c r="M43">
        <v>0</v>
      </c>
      <c r="N43" t="s">
        <v>25</v>
      </c>
    </row>
    <row r="44" spans="1:15" x14ac:dyDescent="0.3">
      <c r="A44" t="s">
        <v>217</v>
      </c>
      <c r="B44" t="s">
        <v>16</v>
      </c>
      <c r="C44" t="s">
        <v>17</v>
      </c>
      <c r="D44" t="s">
        <v>18</v>
      </c>
      <c r="E44">
        <v>24</v>
      </c>
      <c r="F44">
        <v>18.8</v>
      </c>
      <c r="G44">
        <v>26.4</v>
      </c>
      <c r="I44">
        <v>1</v>
      </c>
      <c r="J44">
        <v>3</v>
      </c>
      <c r="K44" t="s">
        <v>23</v>
      </c>
      <c r="L44" t="s">
        <v>41</v>
      </c>
      <c r="N44" t="s">
        <v>35</v>
      </c>
      <c r="O44">
        <v>75.2</v>
      </c>
    </row>
    <row r="45" spans="1:15" x14ac:dyDescent="0.3">
      <c r="A45" t="s">
        <v>220</v>
      </c>
      <c r="B45" t="s">
        <v>16</v>
      </c>
      <c r="C45" t="s">
        <v>43</v>
      </c>
      <c r="D45" t="s">
        <v>29</v>
      </c>
      <c r="E45">
        <v>24</v>
      </c>
      <c r="F45">
        <v>19</v>
      </c>
      <c r="G45">
        <v>133.69999999999999</v>
      </c>
      <c r="H45">
        <v>6.1</v>
      </c>
      <c r="I45">
        <v>2</v>
      </c>
      <c r="J45">
        <v>3</v>
      </c>
      <c r="K45" t="s">
        <v>23</v>
      </c>
      <c r="L45" t="s">
        <v>41</v>
      </c>
      <c r="M45">
        <v>1</v>
      </c>
      <c r="N45" t="s">
        <v>35</v>
      </c>
      <c r="O45">
        <v>68.099999999999994</v>
      </c>
    </row>
    <row r="46" spans="1:15" x14ac:dyDescent="0.3">
      <c r="A46" t="s">
        <v>224</v>
      </c>
      <c r="B46" t="s">
        <v>80</v>
      </c>
      <c r="C46" t="s">
        <v>43</v>
      </c>
      <c r="D46" t="s">
        <v>18</v>
      </c>
      <c r="E46">
        <v>28</v>
      </c>
      <c r="F46">
        <v>11</v>
      </c>
      <c r="G46">
        <v>78</v>
      </c>
      <c r="H46">
        <v>8.5</v>
      </c>
      <c r="I46">
        <v>1</v>
      </c>
      <c r="J46">
        <v>1</v>
      </c>
      <c r="K46" t="s">
        <v>23</v>
      </c>
      <c r="L46" t="s">
        <v>77</v>
      </c>
      <c r="N46" t="s">
        <v>83</v>
      </c>
      <c r="O46">
        <v>74.5</v>
      </c>
    </row>
    <row r="47" spans="1:15" x14ac:dyDescent="0.3">
      <c r="A47" t="s">
        <v>228</v>
      </c>
      <c r="B47" t="s">
        <v>16</v>
      </c>
      <c r="C47" t="s">
        <v>43</v>
      </c>
      <c r="D47" t="s">
        <v>29</v>
      </c>
      <c r="E47">
        <v>28</v>
      </c>
      <c r="F47">
        <v>9.6</v>
      </c>
      <c r="G47">
        <v>116.1</v>
      </c>
      <c r="H47">
        <v>6.5</v>
      </c>
      <c r="I47">
        <v>2</v>
      </c>
      <c r="J47">
        <v>4</v>
      </c>
      <c r="K47" t="s">
        <v>23</v>
      </c>
      <c r="L47" t="s">
        <v>41</v>
      </c>
      <c r="M47">
        <v>0</v>
      </c>
      <c r="N47" t="s">
        <v>61</v>
      </c>
      <c r="O47">
        <v>72.5</v>
      </c>
    </row>
    <row r="48" spans="1:15" x14ac:dyDescent="0.3">
      <c r="A48" t="s">
        <v>232</v>
      </c>
      <c r="B48" t="s">
        <v>86</v>
      </c>
      <c r="C48" t="s">
        <v>17</v>
      </c>
      <c r="D48" t="s">
        <v>29</v>
      </c>
      <c r="E48">
        <v>21</v>
      </c>
      <c r="F48">
        <v>11.9</v>
      </c>
      <c r="G48">
        <v>14.7</v>
      </c>
      <c r="H48">
        <v>7.1</v>
      </c>
      <c r="I48">
        <v>3</v>
      </c>
      <c r="J48">
        <v>5</v>
      </c>
      <c r="K48" t="s">
        <v>23</v>
      </c>
      <c r="L48" t="s">
        <v>34</v>
      </c>
      <c r="M48">
        <v>0</v>
      </c>
      <c r="N48" t="s">
        <v>25</v>
      </c>
      <c r="O48">
        <v>69.599999999999994</v>
      </c>
    </row>
    <row r="49" spans="1:15" x14ac:dyDescent="0.3">
      <c r="A49" t="s">
        <v>235</v>
      </c>
      <c r="B49" t="s">
        <v>80</v>
      </c>
      <c r="C49" t="s">
        <v>17</v>
      </c>
      <c r="D49" t="s">
        <v>29</v>
      </c>
      <c r="E49">
        <v>22</v>
      </c>
      <c r="F49">
        <v>20.100000000000001</v>
      </c>
      <c r="G49">
        <v>66.599999999999994</v>
      </c>
      <c r="H49">
        <v>5.6</v>
      </c>
      <c r="I49">
        <v>3</v>
      </c>
      <c r="J49">
        <v>2</v>
      </c>
      <c r="K49" t="s">
        <v>23</v>
      </c>
      <c r="L49" t="s">
        <v>34</v>
      </c>
      <c r="M49">
        <v>0</v>
      </c>
      <c r="N49" t="s">
        <v>238</v>
      </c>
      <c r="O49">
        <v>62.1</v>
      </c>
    </row>
    <row r="50" spans="1:15" x14ac:dyDescent="0.3">
      <c r="A50" t="s">
        <v>240</v>
      </c>
      <c r="B50" t="s">
        <v>16</v>
      </c>
      <c r="C50" t="s">
        <v>210</v>
      </c>
      <c r="D50" t="s">
        <v>29</v>
      </c>
      <c r="E50">
        <v>23</v>
      </c>
      <c r="F50">
        <v>11.8</v>
      </c>
      <c r="G50">
        <v>27.9</v>
      </c>
      <c r="H50">
        <v>8.1</v>
      </c>
      <c r="I50">
        <v>5</v>
      </c>
      <c r="J50">
        <v>2</v>
      </c>
      <c r="K50" t="s">
        <v>23</v>
      </c>
      <c r="L50" t="s">
        <v>41</v>
      </c>
      <c r="M50">
        <v>0</v>
      </c>
      <c r="N50" t="s">
        <v>35</v>
      </c>
      <c r="O50">
        <v>70</v>
      </c>
    </row>
    <row r="51" spans="1:15" x14ac:dyDescent="0.3">
      <c r="A51" t="s">
        <v>244</v>
      </c>
      <c r="B51" t="s">
        <v>28</v>
      </c>
      <c r="C51" t="s">
        <v>17</v>
      </c>
      <c r="D51" t="s">
        <v>18</v>
      </c>
      <c r="E51">
        <v>22</v>
      </c>
      <c r="F51">
        <v>11.3</v>
      </c>
      <c r="G51">
        <v>11.8</v>
      </c>
      <c r="H51">
        <v>7.1</v>
      </c>
      <c r="I51">
        <v>6</v>
      </c>
      <c r="J51">
        <v>4</v>
      </c>
      <c r="K51" t="s">
        <v>23</v>
      </c>
      <c r="L51" t="s">
        <v>60</v>
      </c>
      <c r="M51">
        <v>1</v>
      </c>
      <c r="N51" t="s">
        <v>35</v>
      </c>
      <c r="O51">
        <v>82.1</v>
      </c>
    </row>
    <row r="52" spans="1:15" x14ac:dyDescent="0.3">
      <c r="A52" t="s">
        <v>247</v>
      </c>
      <c r="B52" t="s">
        <v>16</v>
      </c>
      <c r="C52" t="s">
        <v>55</v>
      </c>
      <c r="D52" t="s">
        <v>18</v>
      </c>
      <c r="E52">
        <v>25</v>
      </c>
      <c r="F52">
        <v>9.1999999999999993</v>
      </c>
      <c r="G52">
        <v>89.5</v>
      </c>
      <c r="H52">
        <v>6.6</v>
      </c>
      <c r="I52">
        <v>3</v>
      </c>
      <c r="J52">
        <v>4</v>
      </c>
      <c r="K52" t="s">
        <v>51</v>
      </c>
      <c r="L52" t="s">
        <v>34</v>
      </c>
      <c r="M52">
        <v>0</v>
      </c>
      <c r="N52" t="s">
        <v>83</v>
      </c>
      <c r="O52">
        <v>67.599999999999994</v>
      </c>
    </row>
    <row r="53" spans="1:15" x14ac:dyDescent="0.3">
      <c r="A53" t="s">
        <v>252</v>
      </c>
      <c r="B53" t="s">
        <v>16</v>
      </c>
      <c r="C53" t="s">
        <v>210</v>
      </c>
      <c r="D53" t="s">
        <v>29</v>
      </c>
      <c r="E53">
        <v>28</v>
      </c>
      <c r="F53">
        <v>18.100000000000001</v>
      </c>
      <c r="G53">
        <v>37.200000000000003</v>
      </c>
      <c r="H53">
        <v>4.9000000000000004</v>
      </c>
      <c r="I53">
        <v>1</v>
      </c>
      <c r="J53">
        <v>2</v>
      </c>
      <c r="K53" t="s">
        <v>23</v>
      </c>
      <c r="L53" t="s">
        <v>34</v>
      </c>
      <c r="M53">
        <v>2</v>
      </c>
      <c r="N53" t="s">
        <v>61</v>
      </c>
      <c r="O53">
        <v>68.900000000000006</v>
      </c>
    </row>
    <row r="54" spans="1:15" x14ac:dyDescent="0.3">
      <c r="A54" t="s">
        <v>256</v>
      </c>
      <c r="B54" t="s">
        <v>80</v>
      </c>
      <c r="C54" t="s">
        <v>43</v>
      </c>
      <c r="D54" t="s">
        <v>29</v>
      </c>
      <c r="E54">
        <v>23</v>
      </c>
      <c r="F54">
        <v>20</v>
      </c>
      <c r="G54">
        <v>26.2</v>
      </c>
      <c r="H54">
        <v>5.4</v>
      </c>
      <c r="I54">
        <v>4</v>
      </c>
      <c r="J54">
        <v>4</v>
      </c>
      <c r="K54" t="s">
        <v>23</v>
      </c>
      <c r="L54" t="s">
        <v>41</v>
      </c>
      <c r="M54">
        <v>0</v>
      </c>
      <c r="N54" t="s">
        <v>829</v>
      </c>
      <c r="O54">
        <v>97.4</v>
      </c>
    </row>
    <row r="55" spans="1:15" x14ac:dyDescent="0.3">
      <c r="A55" t="s">
        <v>260</v>
      </c>
      <c r="B55" t="s">
        <v>48</v>
      </c>
      <c r="C55" t="s">
        <v>210</v>
      </c>
      <c r="D55" t="s">
        <v>18</v>
      </c>
      <c r="E55">
        <v>25</v>
      </c>
      <c r="F55">
        <v>13.4</v>
      </c>
      <c r="G55">
        <v>30.7</v>
      </c>
      <c r="H55">
        <v>6.1</v>
      </c>
      <c r="I55">
        <v>7</v>
      </c>
      <c r="J55">
        <v>4</v>
      </c>
      <c r="K55" t="s">
        <v>23</v>
      </c>
      <c r="L55" t="s">
        <v>34</v>
      </c>
      <c r="M55">
        <v>2</v>
      </c>
      <c r="N55" t="s">
        <v>25</v>
      </c>
      <c r="O55">
        <v>63.9</v>
      </c>
    </row>
    <row r="56" spans="1:15" x14ac:dyDescent="0.3">
      <c r="A56" t="s">
        <v>264</v>
      </c>
      <c r="B56" t="s">
        <v>48</v>
      </c>
      <c r="C56" t="s">
        <v>43</v>
      </c>
      <c r="D56" t="s">
        <v>29</v>
      </c>
      <c r="E56">
        <v>24</v>
      </c>
      <c r="F56">
        <v>12.4</v>
      </c>
      <c r="G56">
        <v>15.6</v>
      </c>
      <c r="H56">
        <v>8.9</v>
      </c>
      <c r="I56">
        <v>5</v>
      </c>
      <c r="J56">
        <v>3</v>
      </c>
      <c r="K56" t="s">
        <v>23</v>
      </c>
      <c r="L56" t="s">
        <v>41</v>
      </c>
      <c r="M56">
        <v>0</v>
      </c>
      <c r="N56" t="s">
        <v>35</v>
      </c>
      <c r="O56">
        <v>71</v>
      </c>
    </row>
    <row r="57" spans="1:15" x14ac:dyDescent="0.3">
      <c r="A57" t="s">
        <v>267</v>
      </c>
      <c r="B57" t="s">
        <v>48</v>
      </c>
      <c r="C57" t="s">
        <v>17</v>
      </c>
      <c r="D57" t="s">
        <v>29</v>
      </c>
      <c r="E57">
        <v>20</v>
      </c>
      <c r="F57">
        <v>21.2</v>
      </c>
      <c r="G57">
        <v>30.1</v>
      </c>
      <c r="H57">
        <v>4.9000000000000004</v>
      </c>
      <c r="I57">
        <v>3</v>
      </c>
      <c r="J57">
        <v>4</v>
      </c>
      <c r="K57" t="s">
        <v>23</v>
      </c>
      <c r="L57" t="s">
        <v>77</v>
      </c>
      <c r="M57">
        <v>0</v>
      </c>
      <c r="N57" t="s">
        <v>61</v>
      </c>
      <c r="O57">
        <v>80.400000000000006</v>
      </c>
    </row>
    <row r="58" spans="1:15" x14ac:dyDescent="0.3">
      <c r="A58" t="s">
        <v>270</v>
      </c>
      <c r="B58" t="s">
        <v>48</v>
      </c>
      <c r="C58" t="s">
        <v>150</v>
      </c>
      <c r="D58" t="s">
        <v>29</v>
      </c>
      <c r="E58">
        <v>23</v>
      </c>
      <c r="F58">
        <v>17.2</v>
      </c>
      <c r="G58">
        <v>29.5</v>
      </c>
      <c r="H58">
        <v>6.4</v>
      </c>
      <c r="I58">
        <v>5</v>
      </c>
      <c r="J58">
        <v>4</v>
      </c>
      <c r="K58" t="s">
        <v>23</v>
      </c>
      <c r="L58" t="s">
        <v>34</v>
      </c>
      <c r="M58">
        <v>2</v>
      </c>
      <c r="N58" t="s">
        <v>35</v>
      </c>
      <c r="O58">
        <v>87.9</v>
      </c>
    </row>
    <row r="59" spans="1:15" x14ac:dyDescent="0.3">
      <c r="A59" t="s">
        <v>273</v>
      </c>
      <c r="B59" t="s">
        <v>86</v>
      </c>
      <c r="C59" t="s">
        <v>55</v>
      </c>
      <c r="D59" t="s">
        <v>29</v>
      </c>
      <c r="E59">
        <v>24</v>
      </c>
      <c r="F59">
        <v>8.8000000000000007</v>
      </c>
      <c r="G59">
        <v>39.9</v>
      </c>
      <c r="H59">
        <v>5.9</v>
      </c>
      <c r="I59">
        <v>2</v>
      </c>
      <c r="J59">
        <v>3</v>
      </c>
      <c r="K59" t="s">
        <v>23</v>
      </c>
      <c r="L59" t="s">
        <v>34</v>
      </c>
      <c r="M59">
        <v>3</v>
      </c>
      <c r="N59" t="s">
        <v>35</v>
      </c>
      <c r="O59">
        <v>74.3</v>
      </c>
    </row>
    <row r="60" spans="1:15" x14ac:dyDescent="0.3">
      <c r="A60" t="s">
        <v>276</v>
      </c>
      <c r="B60" t="s">
        <v>86</v>
      </c>
      <c r="C60" t="s">
        <v>55</v>
      </c>
      <c r="D60" t="s">
        <v>29</v>
      </c>
      <c r="E60">
        <v>23</v>
      </c>
      <c r="F60">
        <v>13.7</v>
      </c>
      <c r="G60">
        <v>13.7</v>
      </c>
      <c r="H60">
        <v>7</v>
      </c>
      <c r="I60">
        <v>2</v>
      </c>
      <c r="J60">
        <v>4</v>
      </c>
      <c r="K60" t="s">
        <v>51</v>
      </c>
      <c r="L60" t="s">
        <v>41</v>
      </c>
      <c r="M60">
        <v>1</v>
      </c>
      <c r="N60" t="s">
        <v>35</v>
      </c>
      <c r="O60">
        <v>71.099999999999994</v>
      </c>
    </row>
    <row r="61" spans="1:15" x14ac:dyDescent="0.3">
      <c r="A61" t="s">
        <v>278</v>
      </c>
      <c r="B61" t="s">
        <v>16</v>
      </c>
      <c r="C61" t="s">
        <v>150</v>
      </c>
      <c r="D61" t="s">
        <v>18</v>
      </c>
      <c r="E61">
        <v>25</v>
      </c>
      <c r="F61">
        <v>12.4</v>
      </c>
      <c r="G61">
        <v>71.599999999999994</v>
      </c>
      <c r="H61">
        <v>6.6</v>
      </c>
      <c r="I61">
        <v>3</v>
      </c>
      <c r="J61">
        <v>3</v>
      </c>
      <c r="K61" t="s">
        <v>23</v>
      </c>
      <c r="L61" t="s">
        <v>24</v>
      </c>
      <c r="M61">
        <v>1</v>
      </c>
      <c r="N61" t="s">
        <v>83</v>
      </c>
      <c r="O61">
        <v>74.3</v>
      </c>
    </row>
    <row r="62" spans="1:15" x14ac:dyDescent="0.3">
      <c r="A62" t="s">
        <v>280</v>
      </c>
      <c r="B62" t="s">
        <v>16</v>
      </c>
      <c r="C62" t="s">
        <v>210</v>
      </c>
      <c r="D62" t="s">
        <v>18</v>
      </c>
      <c r="E62">
        <v>23</v>
      </c>
      <c r="F62">
        <v>21.5</v>
      </c>
      <c r="G62">
        <v>59.6</v>
      </c>
      <c r="H62">
        <v>8.5</v>
      </c>
      <c r="I62">
        <v>8</v>
      </c>
      <c r="J62">
        <v>3</v>
      </c>
      <c r="K62" t="s">
        <v>23</v>
      </c>
      <c r="L62" t="s">
        <v>77</v>
      </c>
      <c r="M62">
        <v>0</v>
      </c>
      <c r="N62" t="s">
        <v>829</v>
      </c>
      <c r="O62">
        <v>85.9</v>
      </c>
    </row>
    <row r="63" spans="1:15" x14ac:dyDescent="0.3">
      <c r="A63" t="s">
        <v>283</v>
      </c>
      <c r="B63" t="s">
        <v>86</v>
      </c>
      <c r="C63" t="s">
        <v>210</v>
      </c>
      <c r="D63" t="s">
        <v>18</v>
      </c>
      <c r="E63">
        <v>29</v>
      </c>
      <c r="F63">
        <v>6.8</v>
      </c>
      <c r="G63">
        <v>17</v>
      </c>
      <c r="H63">
        <v>6.6</v>
      </c>
      <c r="I63">
        <v>4</v>
      </c>
      <c r="J63">
        <v>4</v>
      </c>
      <c r="K63" t="s">
        <v>23</v>
      </c>
      <c r="L63" t="s">
        <v>41</v>
      </c>
      <c r="M63">
        <v>0</v>
      </c>
      <c r="N63" t="s">
        <v>829</v>
      </c>
      <c r="O63">
        <v>65.400000000000006</v>
      </c>
    </row>
    <row r="64" spans="1:15" x14ac:dyDescent="0.3">
      <c r="A64" t="s">
        <v>288</v>
      </c>
      <c r="B64" t="s">
        <v>28</v>
      </c>
      <c r="C64" t="s">
        <v>43</v>
      </c>
      <c r="D64" t="s">
        <v>29</v>
      </c>
      <c r="E64">
        <v>25</v>
      </c>
      <c r="F64">
        <v>18.100000000000001</v>
      </c>
      <c r="G64">
        <v>44.5</v>
      </c>
      <c r="H64">
        <v>7.6</v>
      </c>
      <c r="I64">
        <v>7</v>
      </c>
      <c r="J64">
        <v>4</v>
      </c>
      <c r="K64" t="s">
        <v>23</v>
      </c>
      <c r="L64" t="s">
        <v>41</v>
      </c>
      <c r="M64">
        <v>1</v>
      </c>
      <c r="O64">
        <v>75.7</v>
      </c>
    </row>
    <row r="65" spans="1:15" x14ac:dyDescent="0.3">
      <c r="A65" t="s">
        <v>291</v>
      </c>
      <c r="B65" t="s">
        <v>48</v>
      </c>
      <c r="C65" t="s">
        <v>17</v>
      </c>
      <c r="D65" t="s">
        <v>29</v>
      </c>
      <c r="E65">
        <v>23</v>
      </c>
      <c r="F65">
        <v>15.6</v>
      </c>
      <c r="G65">
        <v>22.4</v>
      </c>
      <c r="H65">
        <v>6.5</v>
      </c>
      <c r="I65">
        <v>2</v>
      </c>
      <c r="J65">
        <v>4</v>
      </c>
      <c r="K65" t="s">
        <v>23</v>
      </c>
      <c r="L65" t="s">
        <v>24</v>
      </c>
      <c r="M65">
        <v>0</v>
      </c>
      <c r="O65">
        <v>78.099999999999994</v>
      </c>
    </row>
    <row r="66" spans="1:15" x14ac:dyDescent="0.3">
      <c r="A66" t="s">
        <v>293</v>
      </c>
      <c r="B66" t="s">
        <v>48</v>
      </c>
      <c r="C66" t="s">
        <v>17</v>
      </c>
      <c r="D66" t="s">
        <v>18</v>
      </c>
      <c r="E66">
        <v>23</v>
      </c>
      <c r="G66">
        <v>39.299999999999997</v>
      </c>
      <c r="H66">
        <v>7.6</v>
      </c>
      <c r="I66">
        <v>3</v>
      </c>
      <c r="J66">
        <v>4</v>
      </c>
      <c r="K66" t="s">
        <v>51</v>
      </c>
      <c r="L66" t="s">
        <v>34</v>
      </c>
      <c r="M66">
        <v>1</v>
      </c>
      <c r="N66" t="s">
        <v>35</v>
      </c>
      <c r="O66">
        <v>74.8</v>
      </c>
    </row>
    <row r="67" spans="1:15" x14ac:dyDescent="0.3">
      <c r="A67" t="s">
        <v>296</v>
      </c>
      <c r="B67" t="s">
        <v>48</v>
      </c>
      <c r="C67" t="s">
        <v>55</v>
      </c>
      <c r="D67" t="s">
        <v>29</v>
      </c>
      <c r="E67">
        <v>22</v>
      </c>
      <c r="F67">
        <v>18.100000000000001</v>
      </c>
      <c r="G67">
        <v>59.3</v>
      </c>
      <c r="H67">
        <v>8.3000000000000007</v>
      </c>
      <c r="I67">
        <v>5</v>
      </c>
      <c r="J67">
        <v>2</v>
      </c>
      <c r="K67" t="s">
        <v>23</v>
      </c>
      <c r="L67" t="s">
        <v>41</v>
      </c>
      <c r="M67">
        <v>2</v>
      </c>
      <c r="N67" t="s">
        <v>35</v>
      </c>
      <c r="O67">
        <v>83.8</v>
      </c>
    </row>
    <row r="68" spans="1:15" x14ac:dyDescent="0.3">
      <c r="A68" t="s">
        <v>299</v>
      </c>
      <c r="B68" t="s">
        <v>28</v>
      </c>
      <c r="C68" t="s">
        <v>210</v>
      </c>
      <c r="D68" t="s">
        <v>29</v>
      </c>
      <c r="E68">
        <v>24</v>
      </c>
      <c r="F68">
        <v>16.8</v>
      </c>
      <c r="G68">
        <v>41.4</v>
      </c>
      <c r="H68">
        <v>8.6</v>
      </c>
      <c r="I68">
        <v>2</v>
      </c>
      <c r="J68">
        <v>3</v>
      </c>
      <c r="K68" t="s">
        <v>23</v>
      </c>
      <c r="L68" t="s">
        <v>24</v>
      </c>
      <c r="M68">
        <v>0</v>
      </c>
      <c r="N68" t="s">
        <v>35</v>
      </c>
      <c r="O68">
        <v>82.6</v>
      </c>
    </row>
    <row r="69" spans="1:15" x14ac:dyDescent="0.3">
      <c r="A69" t="s">
        <v>304</v>
      </c>
      <c r="B69" t="s">
        <v>80</v>
      </c>
      <c r="C69" t="s">
        <v>43</v>
      </c>
      <c r="D69" t="s">
        <v>29</v>
      </c>
      <c r="E69">
        <v>29</v>
      </c>
      <c r="F69">
        <v>14.8</v>
      </c>
      <c r="G69">
        <v>27.2</v>
      </c>
      <c r="H69">
        <v>6</v>
      </c>
      <c r="I69">
        <v>1</v>
      </c>
      <c r="J69">
        <v>4</v>
      </c>
      <c r="K69" t="s">
        <v>23</v>
      </c>
      <c r="L69" t="s">
        <v>24</v>
      </c>
      <c r="M69">
        <v>1</v>
      </c>
      <c r="O69">
        <v>75.2</v>
      </c>
    </row>
    <row r="70" spans="1:15" x14ac:dyDescent="0.3">
      <c r="A70" t="s">
        <v>305</v>
      </c>
      <c r="B70" t="s">
        <v>86</v>
      </c>
      <c r="C70" t="s">
        <v>43</v>
      </c>
      <c r="D70" t="s">
        <v>18</v>
      </c>
      <c r="E70">
        <v>27</v>
      </c>
      <c r="F70">
        <v>23.8</v>
      </c>
      <c r="G70">
        <v>32.6</v>
      </c>
      <c r="H70">
        <v>6.1</v>
      </c>
      <c r="I70">
        <v>8</v>
      </c>
      <c r="J70">
        <v>2</v>
      </c>
      <c r="K70" t="s">
        <v>23</v>
      </c>
      <c r="L70" t="s">
        <v>77</v>
      </c>
      <c r="M70">
        <v>0</v>
      </c>
      <c r="O70">
        <v>93.3</v>
      </c>
    </row>
    <row r="71" spans="1:15" x14ac:dyDescent="0.3">
      <c r="A71" t="s">
        <v>309</v>
      </c>
      <c r="B71" t="s">
        <v>80</v>
      </c>
      <c r="C71" t="s">
        <v>17</v>
      </c>
      <c r="D71" t="s">
        <v>18</v>
      </c>
      <c r="E71">
        <v>24</v>
      </c>
      <c r="F71">
        <v>19.399999999999999</v>
      </c>
      <c r="G71">
        <v>12.8</v>
      </c>
      <c r="H71">
        <v>8.8000000000000007</v>
      </c>
      <c r="I71">
        <v>2</v>
      </c>
      <c r="J71">
        <v>5</v>
      </c>
      <c r="K71" t="s">
        <v>23</v>
      </c>
      <c r="L71" t="s">
        <v>34</v>
      </c>
      <c r="M71">
        <v>0</v>
      </c>
      <c r="N71" t="s">
        <v>829</v>
      </c>
      <c r="O71">
        <v>90.1</v>
      </c>
    </row>
    <row r="72" spans="1:15" x14ac:dyDescent="0.3">
      <c r="A72" t="s">
        <v>313</v>
      </c>
      <c r="B72" t="s">
        <v>16</v>
      </c>
      <c r="C72" t="s">
        <v>17</v>
      </c>
      <c r="D72" t="s">
        <v>18</v>
      </c>
      <c r="E72">
        <v>23</v>
      </c>
      <c r="F72">
        <v>14.7</v>
      </c>
      <c r="G72">
        <v>54.8</v>
      </c>
      <c r="H72">
        <v>5.7</v>
      </c>
      <c r="I72">
        <v>2</v>
      </c>
      <c r="J72">
        <v>3</v>
      </c>
      <c r="K72" t="s">
        <v>23</v>
      </c>
      <c r="L72" t="s">
        <v>34</v>
      </c>
      <c r="M72">
        <v>0</v>
      </c>
      <c r="N72" t="s">
        <v>829</v>
      </c>
      <c r="O72">
        <v>77.900000000000006</v>
      </c>
    </row>
    <row r="73" spans="1:15" x14ac:dyDescent="0.3">
      <c r="A73" t="s">
        <v>317</v>
      </c>
      <c r="B73" t="s">
        <v>16</v>
      </c>
      <c r="C73" t="s">
        <v>55</v>
      </c>
      <c r="D73" t="s">
        <v>29</v>
      </c>
      <c r="E73">
        <v>24</v>
      </c>
      <c r="F73">
        <v>13.1</v>
      </c>
      <c r="G73">
        <v>25.1</v>
      </c>
      <c r="H73">
        <v>4.5999999999999996</v>
      </c>
      <c r="I73">
        <v>1</v>
      </c>
      <c r="J73">
        <v>4</v>
      </c>
      <c r="K73" t="s">
        <v>23</v>
      </c>
      <c r="L73" t="s">
        <v>60</v>
      </c>
      <c r="M73">
        <v>0</v>
      </c>
      <c r="N73" t="s">
        <v>829</v>
      </c>
      <c r="O73">
        <v>68.400000000000006</v>
      </c>
    </row>
    <row r="74" spans="1:15" x14ac:dyDescent="0.3">
      <c r="A74" t="s">
        <v>322</v>
      </c>
      <c r="B74" t="s">
        <v>16</v>
      </c>
      <c r="C74" t="s">
        <v>150</v>
      </c>
      <c r="D74" t="s">
        <v>18</v>
      </c>
      <c r="E74">
        <v>21</v>
      </c>
      <c r="F74">
        <v>21.2</v>
      </c>
      <c r="G74">
        <v>16.100000000000001</v>
      </c>
      <c r="H74">
        <v>8.9</v>
      </c>
      <c r="I74">
        <v>4</v>
      </c>
      <c r="J74">
        <v>3</v>
      </c>
      <c r="K74" t="s">
        <v>23</v>
      </c>
      <c r="L74" t="s">
        <v>60</v>
      </c>
      <c r="M74">
        <v>1</v>
      </c>
      <c r="O74">
        <v>65.3</v>
      </c>
    </row>
    <row r="75" spans="1:15" x14ac:dyDescent="0.3">
      <c r="A75" t="s">
        <v>325</v>
      </c>
      <c r="B75" t="s">
        <v>16</v>
      </c>
      <c r="C75" t="s">
        <v>210</v>
      </c>
      <c r="D75" t="s">
        <v>29</v>
      </c>
      <c r="E75">
        <v>21</v>
      </c>
      <c r="F75">
        <v>20.399999999999999</v>
      </c>
      <c r="G75">
        <v>120.2</v>
      </c>
      <c r="H75">
        <v>8.1999999999999993</v>
      </c>
      <c r="I75">
        <v>5</v>
      </c>
      <c r="J75">
        <v>2</v>
      </c>
      <c r="K75" t="s">
        <v>51</v>
      </c>
      <c r="L75" t="s">
        <v>41</v>
      </c>
      <c r="M75">
        <v>0</v>
      </c>
      <c r="N75" t="s">
        <v>35</v>
      </c>
      <c r="O75">
        <v>80.2</v>
      </c>
    </row>
    <row r="76" spans="1:15" x14ac:dyDescent="0.3">
      <c r="A76" t="s">
        <v>328</v>
      </c>
      <c r="B76" t="s">
        <v>86</v>
      </c>
      <c r="C76" t="s">
        <v>17</v>
      </c>
      <c r="D76" t="s">
        <v>18</v>
      </c>
      <c r="E76">
        <v>21</v>
      </c>
      <c r="F76">
        <v>10.5</v>
      </c>
      <c r="G76">
        <v>79.7</v>
      </c>
      <c r="H76">
        <v>9.1</v>
      </c>
      <c r="I76">
        <v>2</v>
      </c>
      <c r="J76">
        <v>5</v>
      </c>
      <c r="K76" t="s">
        <v>51</v>
      </c>
      <c r="L76" t="s">
        <v>34</v>
      </c>
      <c r="M76">
        <v>0</v>
      </c>
      <c r="N76" t="s">
        <v>83</v>
      </c>
      <c r="O76">
        <v>57.6</v>
      </c>
    </row>
    <row r="77" spans="1:15" x14ac:dyDescent="0.3">
      <c r="A77" t="s">
        <v>332</v>
      </c>
      <c r="B77" t="s">
        <v>48</v>
      </c>
      <c r="C77" t="s">
        <v>55</v>
      </c>
      <c r="D77" t="s">
        <v>29</v>
      </c>
      <c r="E77">
        <v>20</v>
      </c>
      <c r="F77">
        <v>16.8</v>
      </c>
      <c r="G77">
        <v>29.1</v>
      </c>
      <c r="H77">
        <v>6.8</v>
      </c>
      <c r="I77">
        <v>1</v>
      </c>
      <c r="J77">
        <v>2</v>
      </c>
      <c r="K77" t="s">
        <v>23</v>
      </c>
      <c r="L77" t="s">
        <v>77</v>
      </c>
      <c r="M77">
        <v>0</v>
      </c>
      <c r="N77" t="s">
        <v>35</v>
      </c>
      <c r="O77">
        <v>73.5</v>
      </c>
    </row>
    <row r="78" spans="1:15" x14ac:dyDescent="0.3">
      <c r="A78" t="s">
        <v>335</v>
      </c>
      <c r="B78" t="s">
        <v>16</v>
      </c>
      <c r="C78" t="s">
        <v>17</v>
      </c>
      <c r="D78" t="s">
        <v>18</v>
      </c>
      <c r="E78">
        <v>21</v>
      </c>
      <c r="F78">
        <v>23.7</v>
      </c>
      <c r="G78">
        <v>37.9</v>
      </c>
      <c r="H78">
        <v>5.9</v>
      </c>
      <c r="I78">
        <v>4</v>
      </c>
      <c r="J78">
        <v>5</v>
      </c>
      <c r="K78" t="s">
        <v>23</v>
      </c>
      <c r="L78" t="s">
        <v>60</v>
      </c>
      <c r="M78">
        <v>0</v>
      </c>
      <c r="N78" t="s">
        <v>83</v>
      </c>
      <c r="O78">
        <v>90.5</v>
      </c>
    </row>
    <row r="79" spans="1:15" x14ac:dyDescent="0.3">
      <c r="A79" t="s">
        <v>339</v>
      </c>
      <c r="B79" t="s">
        <v>48</v>
      </c>
      <c r="C79" t="s">
        <v>43</v>
      </c>
      <c r="D79" t="s">
        <v>18</v>
      </c>
      <c r="E79">
        <v>21</v>
      </c>
      <c r="F79">
        <v>15.1</v>
      </c>
      <c r="G79">
        <v>53.8</v>
      </c>
      <c r="H79">
        <v>9.3000000000000007</v>
      </c>
      <c r="I79">
        <v>2</v>
      </c>
      <c r="J79">
        <v>4</v>
      </c>
      <c r="K79" t="s">
        <v>51</v>
      </c>
      <c r="L79" t="s">
        <v>41</v>
      </c>
      <c r="M79">
        <v>1</v>
      </c>
      <c r="N79" t="s">
        <v>83</v>
      </c>
    </row>
    <row r="80" spans="1:15" x14ac:dyDescent="0.3">
      <c r="A80" t="s">
        <v>342</v>
      </c>
      <c r="B80" t="s">
        <v>16</v>
      </c>
      <c r="C80" t="s">
        <v>55</v>
      </c>
      <c r="D80" t="s">
        <v>29</v>
      </c>
      <c r="E80">
        <v>23</v>
      </c>
      <c r="F80">
        <v>11.4</v>
      </c>
      <c r="G80">
        <v>16.600000000000001</v>
      </c>
      <c r="H80">
        <v>6</v>
      </c>
      <c r="I80">
        <v>3</v>
      </c>
      <c r="J80">
        <v>3</v>
      </c>
      <c r="K80" t="s">
        <v>51</v>
      </c>
      <c r="L80" t="s">
        <v>41</v>
      </c>
      <c r="M80">
        <v>0</v>
      </c>
      <c r="N80" t="s">
        <v>35</v>
      </c>
      <c r="O80">
        <v>72.5</v>
      </c>
    </row>
    <row r="81" spans="1:15" x14ac:dyDescent="0.3">
      <c r="A81" t="s">
        <v>344</v>
      </c>
      <c r="B81" t="s">
        <v>80</v>
      </c>
      <c r="C81" t="s">
        <v>150</v>
      </c>
      <c r="D81" t="s">
        <v>18</v>
      </c>
      <c r="E81">
        <v>20</v>
      </c>
      <c r="F81">
        <v>11.3</v>
      </c>
      <c r="G81">
        <v>27.9</v>
      </c>
      <c r="H81">
        <v>7.9</v>
      </c>
      <c r="I81">
        <v>4</v>
      </c>
      <c r="J81">
        <v>4</v>
      </c>
      <c r="K81" t="s">
        <v>23</v>
      </c>
      <c r="L81" t="s">
        <v>24</v>
      </c>
      <c r="M81">
        <v>0</v>
      </c>
      <c r="N81" t="s">
        <v>61</v>
      </c>
      <c r="O81">
        <v>75.3</v>
      </c>
    </row>
    <row r="82" spans="1:15" x14ac:dyDescent="0.3">
      <c r="A82" t="s">
        <v>833</v>
      </c>
      <c r="B82" t="s">
        <v>48</v>
      </c>
      <c r="C82" t="s">
        <v>210</v>
      </c>
      <c r="D82" t="s">
        <v>29</v>
      </c>
      <c r="E82">
        <v>23</v>
      </c>
      <c r="F82">
        <v>15.6</v>
      </c>
      <c r="G82">
        <v>20.2</v>
      </c>
      <c r="H82">
        <v>6.6</v>
      </c>
      <c r="I82">
        <v>2</v>
      </c>
      <c r="J82">
        <v>5</v>
      </c>
      <c r="K82" t="s">
        <v>23</v>
      </c>
      <c r="L82" t="s">
        <v>24</v>
      </c>
      <c r="M82">
        <v>3</v>
      </c>
      <c r="N82" t="s">
        <v>238</v>
      </c>
      <c r="O82">
        <v>72.400000000000006</v>
      </c>
    </row>
    <row r="83" spans="1:15" x14ac:dyDescent="0.3">
      <c r="A83" t="s">
        <v>349</v>
      </c>
      <c r="B83" t="s">
        <v>16</v>
      </c>
      <c r="C83" t="s">
        <v>17</v>
      </c>
      <c r="D83" t="s">
        <v>18</v>
      </c>
      <c r="E83">
        <v>25</v>
      </c>
      <c r="F83">
        <v>25</v>
      </c>
      <c r="G83">
        <v>31.4</v>
      </c>
      <c r="H83">
        <v>5.8</v>
      </c>
      <c r="I83">
        <v>3</v>
      </c>
      <c r="J83">
        <v>2</v>
      </c>
      <c r="K83" t="s">
        <v>51</v>
      </c>
      <c r="L83" t="s">
        <v>60</v>
      </c>
      <c r="M83">
        <v>0</v>
      </c>
      <c r="N83" t="s">
        <v>829</v>
      </c>
      <c r="O83">
        <v>85.2</v>
      </c>
    </row>
    <row r="84" spans="1:15" x14ac:dyDescent="0.3">
      <c r="A84" t="s">
        <v>353</v>
      </c>
      <c r="B84" t="s">
        <v>16</v>
      </c>
      <c r="C84" t="s">
        <v>210</v>
      </c>
      <c r="D84" t="s">
        <v>29</v>
      </c>
      <c r="E84">
        <v>22</v>
      </c>
      <c r="F84">
        <v>17.899999999999999</v>
      </c>
      <c r="G84">
        <v>87.2</v>
      </c>
      <c r="H84">
        <v>6.7</v>
      </c>
      <c r="I84">
        <v>6</v>
      </c>
      <c r="J84">
        <v>3</v>
      </c>
      <c r="K84" t="s">
        <v>23</v>
      </c>
      <c r="L84" t="s">
        <v>60</v>
      </c>
      <c r="M84">
        <v>0</v>
      </c>
      <c r="N84" t="s">
        <v>61</v>
      </c>
      <c r="O84">
        <v>92.7</v>
      </c>
    </row>
    <row r="85" spans="1:15" x14ac:dyDescent="0.3">
      <c r="A85" t="s">
        <v>834</v>
      </c>
      <c r="B85" t="s">
        <v>16</v>
      </c>
      <c r="C85" t="s">
        <v>17</v>
      </c>
      <c r="D85" t="s">
        <v>18</v>
      </c>
      <c r="E85">
        <v>27</v>
      </c>
      <c r="F85">
        <v>19.5</v>
      </c>
      <c r="G85">
        <v>69.400000000000006</v>
      </c>
      <c r="H85">
        <v>6.7</v>
      </c>
      <c r="I85">
        <v>3</v>
      </c>
      <c r="K85" t="s">
        <v>23</v>
      </c>
      <c r="L85" t="s">
        <v>41</v>
      </c>
      <c r="M85">
        <v>2</v>
      </c>
      <c r="N85" t="s">
        <v>35</v>
      </c>
      <c r="O85">
        <v>82.1</v>
      </c>
    </row>
    <row r="86" spans="1:15" x14ac:dyDescent="0.3">
      <c r="A86" t="s">
        <v>359</v>
      </c>
      <c r="B86" t="s">
        <v>16</v>
      </c>
      <c r="C86" t="s">
        <v>43</v>
      </c>
      <c r="D86" t="s">
        <v>18</v>
      </c>
      <c r="E86">
        <v>22</v>
      </c>
      <c r="F86">
        <v>16.8</v>
      </c>
      <c r="G86">
        <v>27.7</v>
      </c>
      <c r="H86">
        <v>7.8</v>
      </c>
      <c r="I86">
        <v>5</v>
      </c>
      <c r="J86">
        <v>2</v>
      </c>
      <c r="K86" t="s">
        <v>23</v>
      </c>
      <c r="L86" t="s">
        <v>41</v>
      </c>
      <c r="M86">
        <v>0</v>
      </c>
      <c r="N86" t="s">
        <v>35</v>
      </c>
      <c r="O86">
        <v>91.3</v>
      </c>
    </row>
    <row r="87" spans="1:15" x14ac:dyDescent="0.3">
      <c r="A87" t="s">
        <v>362</v>
      </c>
      <c r="B87" t="s">
        <v>16</v>
      </c>
      <c r="C87" t="s">
        <v>43</v>
      </c>
      <c r="D87" t="s">
        <v>29</v>
      </c>
      <c r="E87">
        <v>23</v>
      </c>
      <c r="F87">
        <v>17.600000000000001</v>
      </c>
      <c r="G87">
        <v>23.1</v>
      </c>
      <c r="H87">
        <v>6.9</v>
      </c>
      <c r="I87">
        <v>2</v>
      </c>
      <c r="J87">
        <v>5</v>
      </c>
      <c r="K87" t="s">
        <v>23</v>
      </c>
      <c r="L87" t="s">
        <v>34</v>
      </c>
      <c r="M87">
        <v>0</v>
      </c>
      <c r="N87" t="s">
        <v>829</v>
      </c>
      <c r="O87">
        <v>80.5</v>
      </c>
    </row>
    <row r="88" spans="1:15" x14ac:dyDescent="0.3">
      <c r="A88" t="s">
        <v>366</v>
      </c>
      <c r="B88" t="s">
        <v>28</v>
      </c>
      <c r="C88" t="s">
        <v>17</v>
      </c>
      <c r="D88" t="s">
        <v>18</v>
      </c>
      <c r="E88">
        <v>23</v>
      </c>
      <c r="F88">
        <v>18.5</v>
      </c>
      <c r="G88">
        <v>15.6</v>
      </c>
      <c r="H88">
        <v>8.9</v>
      </c>
      <c r="I88">
        <v>2</v>
      </c>
      <c r="J88">
        <v>5</v>
      </c>
      <c r="K88" t="s">
        <v>23</v>
      </c>
      <c r="L88" t="s">
        <v>24</v>
      </c>
      <c r="M88">
        <v>0</v>
      </c>
      <c r="N88" t="s">
        <v>238</v>
      </c>
      <c r="O88">
        <v>80.2</v>
      </c>
    </row>
    <row r="89" spans="1:15" x14ac:dyDescent="0.3">
      <c r="A89" t="s">
        <v>367</v>
      </c>
      <c r="B89" t="s">
        <v>80</v>
      </c>
      <c r="C89" t="s">
        <v>150</v>
      </c>
      <c r="D89" t="s">
        <v>18</v>
      </c>
      <c r="E89">
        <v>23</v>
      </c>
      <c r="F89">
        <v>23.6</v>
      </c>
      <c r="G89">
        <v>21.1</v>
      </c>
      <c r="H89">
        <v>7.8</v>
      </c>
      <c r="I89">
        <v>2</v>
      </c>
      <c r="J89">
        <v>5</v>
      </c>
      <c r="K89" t="s">
        <v>51</v>
      </c>
      <c r="L89" t="s">
        <v>24</v>
      </c>
      <c r="M89">
        <v>0</v>
      </c>
      <c r="N89" t="s">
        <v>35</v>
      </c>
      <c r="O89">
        <v>84.3</v>
      </c>
    </row>
    <row r="90" spans="1:15" x14ac:dyDescent="0.3">
      <c r="A90" t="s">
        <v>371</v>
      </c>
      <c r="B90" t="s">
        <v>80</v>
      </c>
      <c r="C90" t="s">
        <v>17</v>
      </c>
      <c r="D90" t="s">
        <v>18</v>
      </c>
      <c r="E90">
        <v>26</v>
      </c>
      <c r="F90">
        <v>15.5</v>
      </c>
      <c r="G90">
        <v>68.8</v>
      </c>
      <c r="H90">
        <v>8.5</v>
      </c>
      <c r="I90">
        <v>3</v>
      </c>
      <c r="J90">
        <v>2</v>
      </c>
      <c r="K90" t="s">
        <v>23</v>
      </c>
      <c r="L90" t="s">
        <v>41</v>
      </c>
      <c r="M90">
        <v>1</v>
      </c>
      <c r="N90" t="s">
        <v>238</v>
      </c>
      <c r="O90">
        <v>84.5</v>
      </c>
    </row>
    <row r="91" spans="1:15" x14ac:dyDescent="0.3">
      <c r="A91" t="s">
        <v>375</v>
      </c>
      <c r="B91" t="s">
        <v>28</v>
      </c>
      <c r="C91" t="s">
        <v>43</v>
      </c>
      <c r="D91" t="s">
        <v>18</v>
      </c>
      <c r="E91">
        <v>21</v>
      </c>
      <c r="F91">
        <v>20.3</v>
      </c>
      <c r="G91">
        <v>50</v>
      </c>
      <c r="H91">
        <v>5.3</v>
      </c>
      <c r="I91">
        <v>2</v>
      </c>
      <c r="J91">
        <v>4</v>
      </c>
      <c r="K91" t="s">
        <v>23</v>
      </c>
      <c r="L91" t="s">
        <v>41</v>
      </c>
      <c r="M91">
        <v>0</v>
      </c>
      <c r="O91">
        <v>77.7</v>
      </c>
    </row>
    <row r="92" spans="1:15" x14ac:dyDescent="0.3">
      <c r="A92" t="s">
        <v>379</v>
      </c>
      <c r="B92" t="s">
        <v>16</v>
      </c>
      <c r="C92" t="s">
        <v>150</v>
      </c>
      <c r="D92" t="s">
        <v>18</v>
      </c>
      <c r="E92">
        <v>24</v>
      </c>
      <c r="F92">
        <v>20.9</v>
      </c>
      <c r="G92">
        <v>55.7</v>
      </c>
      <c r="H92">
        <v>8.1</v>
      </c>
      <c r="I92">
        <v>3</v>
      </c>
      <c r="J92">
        <v>5</v>
      </c>
      <c r="K92" t="s">
        <v>23</v>
      </c>
      <c r="L92" t="s">
        <v>41</v>
      </c>
      <c r="M92">
        <v>0</v>
      </c>
      <c r="N92" t="s">
        <v>35</v>
      </c>
      <c r="O92">
        <v>82.5</v>
      </c>
    </row>
    <row r="93" spans="1:15" x14ac:dyDescent="0.3">
      <c r="A93" t="s">
        <v>835</v>
      </c>
      <c r="B93" t="s">
        <v>48</v>
      </c>
      <c r="C93" t="s">
        <v>17</v>
      </c>
      <c r="D93" t="s">
        <v>18</v>
      </c>
      <c r="E93">
        <v>28</v>
      </c>
      <c r="F93">
        <v>9.3000000000000007</v>
      </c>
      <c r="G93">
        <v>26</v>
      </c>
      <c r="H93">
        <v>6.3</v>
      </c>
      <c r="I93">
        <v>1</v>
      </c>
      <c r="J93">
        <v>2</v>
      </c>
      <c r="K93" t="s">
        <v>23</v>
      </c>
      <c r="L93" t="s">
        <v>34</v>
      </c>
      <c r="M93">
        <v>4</v>
      </c>
      <c r="N93" t="s">
        <v>35</v>
      </c>
      <c r="O93">
        <v>58.5</v>
      </c>
    </row>
    <row r="94" spans="1:15" x14ac:dyDescent="0.3">
      <c r="A94" t="s">
        <v>386</v>
      </c>
      <c r="B94" t="s">
        <v>16</v>
      </c>
      <c r="C94" t="s">
        <v>150</v>
      </c>
      <c r="D94" t="s">
        <v>18</v>
      </c>
      <c r="E94">
        <v>23</v>
      </c>
      <c r="F94">
        <v>20.5</v>
      </c>
      <c r="G94">
        <v>62.9</v>
      </c>
      <c r="H94">
        <v>5.0999999999999996</v>
      </c>
      <c r="I94">
        <v>3</v>
      </c>
      <c r="J94">
        <v>5</v>
      </c>
      <c r="K94" t="s">
        <v>23</v>
      </c>
      <c r="L94" t="s">
        <v>60</v>
      </c>
      <c r="M94">
        <v>2</v>
      </c>
      <c r="N94" t="s">
        <v>238</v>
      </c>
      <c r="O94">
        <v>84.6</v>
      </c>
    </row>
    <row r="95" spans="1:15" x14ac:dyDescent="0.3">
      <c r="A95" t="s">
        <v>391</v>
      </c>
      <c r="B95" t="s">
        <v>80</v>
      </c>
      <c r="C95" t="s">
        <v>43</v>
      </c>
      <c r="D95" t="s">
        <v>29</v>
      </c>
      <c r="E95">
        <v>25</v>
      </c>
      <c r="F95">
        <v>13.1</v>
      </c>
      <c r="G95">
        <v>10.1</v>
      </c>
      <c r="H95">
        <v>6</v>
      </c>
      <c r="I95">
        <v>0</v>
      </c>
      <c r="J95">
        <v>5</v>
      </c>
      <c r="K95" t="s">
        <v>23</v>
      </c>
      <c r="L95" t="s">
        <v>24</v>
      </c>
      <c r="M95">
        <v>0</v>
      </c>
      <c r="N95" t="s">
        <v>61</v>
      </c>
      <c r="O95">
        <v>77.900000000000006</v>
      </c>
    </row>
    <row r="96" spans="1:15" x14ac:dyDescent="0.3">
      <c r="A96" t="s">
        <v>393</v>
      </c>
      <c r="B96" t="s">
        <v>80</v>
      </c>
      <c r="C96" t="s">
        <v>43</v>
      </c>
      <c r="D96" t="s">
        <v>18</v>
      </c>
      <c r="E96">
        <v>26</v>
      </c>
      <c r="F96">
        <v>8.9</v>
      </c>
      <c r="G96">
        <v>63.3</v>
      </c>
      <c r="H96">
        <v>7.2</v>
      </c>
      <c r="I96">
        <v>3</v>
      </c>
      <c r="J96">
        <v>2</v>
      </c>
      <c r="K96" t="s">
        <v>51</v>
      </c>
      <c r="L96" t="s">
        <v>60</v>
      </c>
      <c r="M96">
        <v>1</v>
      </c>
      <c r="N96" t="s">
        <v>25</v>
      </c>
      <c r="O96">
        <v>72.7</v>
      </c>
    </row>
    <row r="97" spans="1:15" x14ac:dyDescent="0.3">
      <c r="A97" t="s">
        <v>397</v>
      </c>
      <c r="B97" t="s">
        <v>16</v>
      </c>
      <c r="C97" t="s">
        <v>17</v>
      </c>
      <c r="D97" t="s">
        <v>18</v>
      </c>
      <c r="E97">
        <v>25</v>
      </c>
      <c r="F97">
        <v>18.3</v>
      </c>
      <c r="G97">
        <v>43.8</v>
      </c>
      <c r="H97">
        <v>6</v>
      </c>
      <c r="I97">
        <v>6</v>
      </c>
      <c r="J97">
        <v>2</v>
      </c>
      <c r="K97" t="s">
        <v>23</v>
      </c>
      <c r="L97" t="s">
        <v>41</v>
      </c>
      <c r="M97">
        <v>1</v>
      </c>
      <c r="N97" t="s">
        <v>35</v>
      </c>
    </row>
    <row r="98" spans="1:15" x14ac:dyDescent="0.3">
      <c r="A98" t="s">
        <v>398</v>
      </c>
      <c r="B98" t="s">
        <v>86</v>
      </c>
      <c r="C98" t="s">
        <v>55</v>
      </c>
      <c r="D98" t="s">
        <v>18</v>
      </c>
      <c r="E98">
        <v>26</v>
      </c>
      <c r="F98">
        <v>18.8</v>
      </c>
      <c r="G98">
        <v>32.6</v>
      </c>
      <c r="I98">
        <v>1</v>
      </c>
      <c r="J98">
        <v>5</v>
      </c>
      <c r="K98" t="s">
        <v>23</v>
      </c>
      <c r="L98" t="s">
        <v>60</v>
      </c>
      <c r="M98">
        <v>2</v>
      </c>
      <c r="N98" t="s">
        <v>35</v>
      </c>
      <c r="O98">
        <v>78.900000000000006</v>
      </c>
    </row>
    <row r="99" spans="1:15" x14ac:dyDescent="0.3">
      <c r="A99" t="s">
        <v>400</v>
      </c>
      <c r="B99" t="s">
        <v>28</v>
      </c>
      <c r="C99" t="s">
        <v>17</v>
      </c>
      <c r="D99" t="s">
        <v>18</v>
      </c>
      <c r="F99">
        <v>18.600000000000001</v>
      </c>
      <c r="G99">
        <v>25.9</v>
      </c>
      <c r="H99">
        <v>6.9</v>
      </c>
      <c r="I99">
        <v>2</v>
      </c>
      <c r="J99">
        <v>3</v>
      </c>
      <c r="K99" t="s">
        <v>23</v>
      </c>
      <c r="L99" t="s">
        <v>24</v>
      </c>
      <c r="M99">
        <v>0</v>
      </c>
      <c r="N99" t="s">
        <v>25</v>
      </c>
      <c r="O99">
        <v>93.5</v>
      </c>
    </row>
    <row r="100" spans="1:15" x14ac:dyDescent="0.3">
      <c r="A100" t="s">
        <v>403</v>
      </c>
      <c r="B100" t="s">
        <v>16</v>
      </c>
      <c r="C100" t="s">
        <v>17</v>
      </c>
      <c r="D100" t="s">
        <v>18</v>
      </c>
      <c r="F100">
        <v>16.3</v>
      </c>
      <c r="G100">
        <v>62.4</v>
      </c>
      <c r="H100">
        <v>4.4000000000000004</v>
      </c>
      <c r="I100">
        <v>6</v>
      </c>
      <c r="J100">
        <v>5</v>
      </c>
      <c r="K100" t="s">
        <v>23</v>
      </c>
      <c r="L100" t="s">
        <v>34</v>
      </c>
      <c r="M100">
        <v>0</v>
      </c>
      <c r="N100" t="s">
        <v>35</v>
      </c>
      <c r="O100">
        <v>71.7</v>
      </c>
    </row>
    <row r="101" spans="1:15" x14ac:dyDescent="0.3">
      <c r="A101" t="s">
        <v>408</v>
      </c>
      <c r="B101" t="s">
        <v>16</v>
      </c>
      <c r="C101" t="s">
        <v>17</v>
      </c>
      <c r="D101" t="s">
        <v>18</v>
      </c>
      <c r="E101">
        <v>21</v>
      </c>
      <c r="F101">
        <v>9.8000000000000007</v>
      </c>
      <c r="G101">
        <v>176</v>
      </c>
      <c r="H101">
        <v>7.6</v>
      </c>
      <c r="I101">
        <v>4</v>
      </c>
      <c r="J101">
        <v>5</v>
      </c>
      <c r="K101" t="s">
        <v>23</v>
      </c>
      <c r="L101" t="s">
        <v>41</v>
      </c>
      <c r="M101">
        <v>0</v>
      </c>
      <c r="N101" t="s">
        <v>35</v>
      </c>
      <c r="O101">
        <v>70.099999999999994</v>
      </c>
    </row>
    <row r="102" spans="1:15" x14ac:dyDescent="0.3">
      <c r="A102" t="s">
        <v>411</v>
      </c>
      <c r="B102" t="s">
        <v>86</v>
      </c>
      <c r="C102" t="s">
        <v>43</v>
      </c>
      <c r="D102" t="s">
        <v>29</v>
      </c>
      <c r="E102">
        <v>20</v>
      </c>
      <c r="F102">
        <v>23.4</v>
      </c>
      <c r="G102">
        <v>28.5</v>
      </c>
      <c r="H102">
        <v>6.6</v>
      </c>
      <c r="I102">
        <v>2</v>
      </c>
      <c r="J102">
        <v>2</v>
      </c>
      <c r="K102" t="s">
        <v>23</v>
      </c>
      <c r="L102" t="s">
        <v>34</v>
      </c>
      <c r="M102">
        <v>0</v>
      </c>
      <c r="N102" t="s">
        <v>61</v>
      </c>
      <c r="O102">
        <v>83.4</v>
      </c>
    </row>
    <row r="103" spans="1:15" x14ac:dyDescent="0.3">
      <c r="A103" t="s">
        <v>415</v>
      </c>
      <c r="B103" t="s">
        <v>80</v>
      </c>
      <c r="C103" t="s">
        <v>55</v>
      </c>
      <c r="D103" t="s">
        <v>18</v>
      </c>
      <c r="E103">
        <v>27</v>
      </c>
      <c r="F103">
        <v>11.6</v>
      </c>
      <c r="H103">
        <v>7.2</v>
      </c>
      <c r="I103">
        <v>3</v>
      </c>
      <c r="J103">
        <v>5</v>
      </c>
      <c r="K103" t="s">
        <v>23</v>
      </c>
      <c r="L103" t="s">
        <v>41</v>
      </c>
      <c r="M103">
        <v>0</v>
      </c>
      <c r="N103" t="s">
        <v>238</v>
      </c>
      <c r="O103">
        <v>78.5</v>
      </c>
    </row>
    <row r="104" spans="1:15" x14ac:dyDescent="0.3">
      <c r="A104" t="s">
        <v>417</v>
      </c>
      <c r="B104" t="s">
        <v>16</v>
      </c>
      <c r="C104" t="s">
        <v>17</v>
      </c>
      <c r="D104" t="s">
        <v>18</v>
      </c>
      <c r="E104">
        <v>25</v>
      </c>
      <c r="F104">
        <v>14.4</v>
      </c>
      <c r="G104">
        <v>67</v>
      </c>
      <c r="H104">
        <v>7.6</v>
      </c>
      <c r="I104">
        <v>7</v>
      </c>
      <c r="J104">
        <v>5</v>
      </c>
      <c r="K104" t="s">
        <v>51</v>
      </c>
      <c r="L104" t="s">
        <v>24</v>
      </c>
      <c r="M104">
        <v>0</v>
      </c>
      <c r="N104" t="s">
        <v>83</v>
      </c>
      <c r="O104">
        <v>75.400000000000006</v>
      </c>
    </row>
    <row r="105" spans="1:15" x14ac:dyDescent="0.3">
      <c r="A105" t="s">
        <v>421</v>
      </c>
      <c r="B105" t="s">
        <v>86</v>
      </c>
      <c r="C105" t="s">
        <v>210</v>
      </c>
      <c r="D105" t="s">
        <v>18</v>
      </c>
      <c r="E105">
        <v>22</v>
      </c>
      <c r="F105">
        <v>3.2</v>
      </c>
      <c r="G105">
        <v>34.299999999999997</v>
      </c>
      <c r="H105">
        <v>4.7</v>
      </c>
      <c r="I105">
        <v>2</v>
      </c>
      <c r="J105">
        <v>3</v>
      </c>
      <c r="K105" t="s">
        <v>23</v>
      </c>
      <c r="L105" t="s">
        <v>24</v>
      </c>
      <c r="M105">
        <v>3</v>
      </c>
      <c r="N105" t="s">
        <v>61</v>
      </c>
      <c r="O105">
        <v>66.2</v>
      </c>
    </row>
    <row r="106" spans="1:15" x14ac:dyDescent="0.3">
      <c r="A106" t="s">
        <v>425</v>
      </c>
      <c r="B106" t="s">
        <v>16</v>
      </c>
      <c r="C106" t="s">
        <v>150</v>
      </c>
      <c r="D106" t="s">
        <v>18</v>
      </c>
      <c r="E106">
        <v>23</v>
      </c>
      <c r="F106">
        <v>9.5</v>
      </c>
      <c r="G106">
        <v>18</v>
      </c>
      <c r="H106">
        <v>7.6</v>
      </c>
      <c r="I106">
        <v>3</v>
      </c>
      <c r="J106">
        <v>3</v>
      </c>
      <c r="K106" t="s">
        <v>23</v>
      </c>
      <c r="L106" t="s">
        <v>41</v>
      </c>
      <c r="M106">
        <v>0</v>
      </c>
      <c r="N106" t="s">
        <v>61</v>
      </c>
      <c r="O106">
        <v>74.400000000000006</v>
      </c>
    </row>
    <row r="107" spans="1:15" x14ac:dyDescent="0.3">
      <c r="A107" t="s">
        <v>428</v>
      </c>
      <c r="B107" t="s">
        <v>80</v>
      </c>
      <c r="C107" t="s">
        <v>55</v>
      </c>
      <c r="D107" t="s">
        <v>29</v>
      </c>
      <c r="E107">
        <v>24</v>
      </c>
      <c r="F107">
        <v>17.899999999999999</v>
      </c>
      <c r="G107">
        <v>45.4</v>
      </c>
      <c r="H107">
        <v>6</v>
      </c>
      <c r="I107">
        <v>1</v>
      </c>
      <c r="J107">
        <v>2</v>
      </c>
      <c r="K107" t="s">
        <v>51</v>
      </c>
      <c r="L107" t="s">
        <v>24</v>
      </c>
      <c r="M107">
        <v>2</v>
      </c>
      <c r="N107" t="s">
        <v>238</v>
      </c>
      <c r="O107">
        <v>70.900000000000006</v>
      </c>
    </row>
    <row r="108" spans="1:15" x14ac:dyDescent="0.3">
      <c r="A108" t="s">
        <v>431</v>
      </c>
      <c r="B108" t="s">
        <v>80</v>
      </c>
      <c r="C108" t="s">
        <v>210</v>
      </c>
      <c r="D108" t="s">
        <v>18</v>
      </c>
      <c r="E108">
        <v>21</v>
      </c>
      <c r="F108">
        <v>21.7</v>
      </c>
      <c r="G108">
        <v>13.1</v>
      </c>
      <c r="H108">
        <v>7.8</v>
      </c>
      <c r="I108">
        <v>6</v>
      </c>
      <c r="J108">
        <v>3</v>
      </c>
      <c r="K108" t="s">
        <v>23</v>
      </c>
      <c r="L108" t="s">
        <v>41</v>
      </c>
      <c r="M108">
        <v>0</v>
      </c>
      <c r="N108" t="s">
        <v>83</v>
      </c>
      <c r="O108">
        <v>90.2</v>
      </c>
    </row>
    <row r="109" spans="1:15" x14ac:dyDescent="0.3">
      <c r="A109" t="s">
        <v>434</v>
      </c>
      <c r="B109" t="s">
        <v>16</v>
      </c>
      <c r="C109" t="s">
        <v>210</v>
      </c>
      <c r="D109" t="s">
        <v>18</v>
      </c>
      <c r="E109">
        <v>24</v>
      </c>
      <c r="F109">
        <v>14</v>
      </c>
      <c r="G109">
        <v>30.2</v>
      </c>
      <c r="H109">
        <v>6.5</v>
      </c>
      <c r="I109">
        <v>4</v>
      </c>
      <c r="J109">
        <v>3</v>
      </c>
      <c r="K109" t="s">
        <v>23</v>
      </c>
      <c r="L109" t="s">
        <v>34</v>
      </c>
      <c r="M109">
        <v>1</v>
      </c>
      <c r="N109" t="s">
        <v>35</v>
      </c>
      <c r="O109">
        <v>72.900000000000006</v>
      </c>
    </row>
    <row r="110" spans="1:15" x14ac:dyDescent="0.3">
      <c r="A110" t="s">
        <v>437</v>
      </c>
      <c r="B110" t="s">
        <v>16</v>
      </c>
      <c r="C110" t="s">
        <v>17</v>
      </c>
      <c r="D110" t="s">
        <v>18</v>
      </c>
      <c r="E110">
        <v>27</v>
      </c>
      <c r="F110">
        <v>22.2</v>
      </c>
      <c r="G110">
        <v>70.900000000000006</v>
      </c>
      <c r="H110">
        <v>6.5</v>
      </c>
      <c r="I110">
        <v>4</v>
      </c>
      <c r="J110">
        <v>4</v>
      </c>
      <c r="K110" t="s">
        <v>23</v>
      </c>
      <c r="L110" t="s">
        <v>60</v>
      </c>
      <c r="M110">
        <v>2</v>
      </c>
      <c r="N110" t="s">
        <v>35</v>
      </c>
      <c r="O110">
        <v>87.9</v>
      </c>
    </row>
    <row r="111" spans="1:15" x14ac:dyDescent="0.3">
      <c r="A111" t="s">
        <v>439</v>
      </c>
      <c r="B111" t="s">
        <v>16</v>
      </c>
      <c r="C111" t="s">
        <v>17</v>
      </c>
      <c r="D111" t="s">
        <v>29</v>
      </c>
      <c r="E111">
        <v>24</v>
      </c>
      <c r="F111">
        <v>17.399999999999999</v>
      </c>
      <c r="G111">
        <v>66.8</v>
      </c>
      <c r="H111">
        <v>8</v>
      </c>
      <c r="I111">
        <v>3</v>
      </c>
      <c r="J111">
        <v>3</v>
      </c>
      <c r="K111" t="s">
        <v>23</v>
      </c>
      <c r="L111" t="s">
        <v>34</v>
      </c>
      <c r="M111">
        <v>0</v>
      </c>
      <c r="N111" t="s">
        <v>61</v>
      </c>
      <c r="O111">
        <v>86.3</v>
      </c>
    </row>
    <row r="112" spans="1:15" x14ac:dyDescent="0.3">
      <c r="A112" t="s">
        <v>442</v>
      </c>
      <c r="B112" t="s">
        <v>16</v>
      </c>
      <c r="C112" t="s">
        <v>210</v>
      </c>
      <c r="D112" t="s">
        <v>18</v>
      </c>
      <c r="E112">
        <v>25</v>
      </c>
      <c r="F112">
        <v>9.1</v>
      </c>
      <c r="G112">
        <v>38.9</v>
      </c>
      <c r="H112">
        <v>6.6</v>
      </c>
      <c r="I112">
        <v>1</v>
      </c>
      <c r="J112">
        <v>2</v>
      </c>
      <c r="K112" t="s">
        <v>23</v>
      </c>
      <c r="L112" t="s">
        <v>24</v>
      </c>
      <c r="M112">
        <v>2</v>
      </c>
      <c r="O112">
        <v>74.3</v>
      </c>
    </row>
    <row r="113" spans="1:15" x14ac:dyDescent="0.3">
      <c r="A113" t="s">
        <v>445</v>
      </c>
      <c r="B113" t="s">
        <v>16</v>
      </c>
      <c r="C113" t="s">
        <v>210</v>
      </c>
      <c r="D113" t="s">
        <v>29</v>
      </c>
      <c r="E113">
        <v>23</v>
      </c>
      <c r="F113">
        <v>24.2</v>
      </c>
      <c r="G113">
        <v>74.400000000000006</v>
      </c>
      <c r="H113">
        <v>7.1</v>
      </c>
      <c r="I113">
        <v>3</v>
      </c>
      <c r="J113">
        <v>5</v>
      </c>
      <c r="K113" t="s">
        <v>23</v>
      </c>
      <c r="L113" t="s">
        <v>60</v>
      </c>
      <c r="M113">
        <v>0</v>
      </c>
      <c r="N113" t="s">
        <v>238</v>
      </c>
      <c r="O113">
        <v>80.2</v>
      </c>
    </row>
    <row r="114" spans="1:15" x14ac:dyDescent="0.3">
      <c r="A114" t="s">
        <v>448</v>
      </c>
      <c r="B114" t="s">
        <v>86</v>
      </c>
      <c r="C114" t="s">
        <v>150</v>
      </c>
      <c r="D114" t="s">
        <v>29</v>
      </c>
      <c r="E114">
        <v>23</v>
      </c>
      <c r="F114">
        <v>14</v>
      </c>
      <c r="G114">
        <v>23.3</v>
      </c>
      <c r="H114">
        <v>7.6</v>
      </c>
      <c r="I114">
        <v>4</v>
      </c>
      <c r="J114">
        <v>5</v>
      </c>
      <c r="K114" t="s">
        <v>23</v>
      </c>
      <c r="L114" t="s">
        <v>77</v>
      </c>
      <c r="M114">
        <v>0</v>
      </c>
      <c r="N114" t="s">
        <v>83</v>
      </c>
      <c r="O114">
        <v>76.7</v>
      </c>
    </row>
    <row r="115" spans="1:15" x14ac:dyDescent="0.3">
      <c r="A115" t="s">
        <v>451</v>
      </c>
      <c r="B115" t="s">
        <v>16</v>
      </c>
      <c r="C115" t="s">
        <v>17</v>
      </c>
      <c r="D115" t="s">
        <v>29</v>
      </c>
      <c r="E115">
        <v>25</v>
      </c>
      <c r="F115">
        <v>16.100000000000001</v>
      </c>
      <c r="G115">
        <v>87.6</v>
      </c>
      <c r="H115">
        <v>7.4</v>
      </c>
      <c r="I115">
        <v>0</v>
      </c>
      <c r="J115">
        <v>2</v>
      </c>
      <c r="K115" t="s">
        <v>51</v>
      </c>
      <c r="L115" t="s">
        <v>24</v>
      </c>
      <c r="M115">
        <v>0</v>
      </c>
      <c r="N115" t="s">
        <v>83</v>
      </c>
      <c r="O115">
        <v>69.7</v>
      </c>
    </row>
    <row r="116" spans="1:15" x14ac:dyDescent="0.3">
      <c r="A116" t="s">
        <v>454</v>
      </c>
      <c r="B116" t="s">
        <v>86</v>
      </c>
      <c r="C116" t="s">
        <v>150</v>
      </c>
      <c r="D116" t="s">
        <v>18</v>
      </c>
      <c r="E116">
        <v>23</v>
      </c>
      <c r="F116">
        <v>23.3</v>
      </c>
      <c r="G116">
        <v>33.200000000000003</v>
      </c>
      <c r="H116">
        <v>6</v>
      </c>
      <c r="I116">
        <v>1</v>
      </c>
      <c r="J116">
        <v>2</v>
      </c>
      <c r="K116" t="s">
        <v>23</v>
      </c>
      <c r="L116" t="s">
        <v>41</v>
      </c>
      <c r="M116">
        <v>0</v>
      </c>
      <c r="N116" t="s">
        <v>35</v>
      </c>
      <c r="O116">
        <v>61.5</v>
      </c>
    </row>
    <row r="117" spans="1:15" x14ac:dyDescent="0.3">
      <c r="A117" t="s">
        <v>458</v>
      </c>
      <c r="B117" t="s">
        <v>28</v>
      </c>
      <c r="C117" t="s">
        <v>150</v>
      </c>
      <c r="D117" t="s">
        <v>18</v>
      </c>
      <c r="E117">
        <v>24</v>
      </c>
      <c r="F117">
        <v>15.6</v>
      </c>
      <c r="G117">
        <v>34.299999999999997</v>
      </c>
      <c r="H117">
        <v>6.9</v>
      </c>
      <c r="I117">
        <v>2</v>
      </c>
      <c r="J117">
        <v>4</v>
      </c>
      <c r="K117" t="s">
        <v>23</v>
      </c>
      <c r="L117" t="s">
        <v>24</v>
      </c>
      <c r="M117">
        <v>2</v>
      </c>
      <c r="N117" t="s">
        <v>829</v>
      </c>
      <c r="O117">
        <v>82.6</v>
      </c>
    </row>
    <row r="118" spans="1:15" x14ac:dyDescent="0.3">
      <c r="A118" t="s">
        <v>459</v>
      </c>
      <c r="B118" t="s">
        <v>80</v>
      </c>
      <c r="C118" t="s">
        <v>55</v>
      </c>
      <c r="D118" t="s">
        <v>29</v>
      </c>
      <c r="E118">
        <v>20</v>
      </c>
      <c r="F118">
        <v>17.8</v>
      </c>
      <c r="G118">
        <v>15.2</v>
      </c>
      <c r="I118">
        <v>5</v>
      </c>
      <c r="J118">
        <v>4</v>
      </c>
      <c r="K118" t="s">
        <v>51</v>
      </c>
      <c r="L118" t="s">
        <v>41</v>
      </c>
      <c r="M118">
        <v>3</v>
      </c>
      <c r="N118" t="s">
        <v>25</v>
      </c>
      <c r="O118">
        <v>86.5</v>
      </c>
    </row>
    <row r="119" spans="1:15" x14ac:dyDescent="0.3">
      <c r="A119" t="s">
        <v>463</v>
      </c>
      <c r="B119" t="s">
        <v>16</v>
      </c>
      <c r="C119" t="s">
        <v>17</v>
      </c>
      <c r="D119" t="s">
        <v>18</v>
      </c>
      <c r="E119">
        <v>20</v>
      </c>
      <c r="F119">
        <v>16.100000000000001</v>
      </c>
      <c r="G119">
        <v>55.7</v>
      </c>
      <c r="H119">
        <v>5.9</v>
      </c>
      <c r="I119">
        <v>0</v>
      </c>
      <c r="J119">
        <v>4</v>
      </c>
      <c r="K119" t="s">
        <v>51</v>
      </c>
      <c r="L119" t="s">
        <v>77</v>
      </c>
      <c r="M119">
        <v>0</v>
      </c>
      <c r="O119">
        <v>76.599999999999994</v>
      </c>
    </row>
    <row r="120" spans="1:15" x14ac:dyDescent="0.3">
      <c r="A120" t="s">
        <v>464</v>
      </c>
      <c r="B120" t="s">
        <v>16</v>
      </c>
      <c r="C120" t="s">
        <v>43</v>
      </c>
      <c r="D120" t="s">
        <v>18</v>
      </c>
      <c r="E120">
        <v>23</v>
      </c>
      <c r="F120">
        <v>12.1</v>
      </c>
      <c r="G120">
        <v>53.6</v>
      </c>
      <c r="H120">
        <v>6.7</v>
      </c>
      <c r="I120">
        <v>3</v>
      </c>
      <c r="J120">
        <v>3</v>
      </c>
      <c r="K120" t="s">
        <v>51</v>
      </c>
      <c r="L120" t="s">
        <v>24</v>
      </c>
      <c r="M120">
        <v>0</v>
      </c>
      <c r="N120" t="s">
        <v>61</v>
      </c>
      <c r="O120">
        <v>69.099999999999994</v>
      </c>
    </row>
    <row r="121" spans="1:15" x14ac:dyDescent="0.3">
      <c r="A121" t="s">
        <v>468</v>
      </c>
      <c r="B121" t="s">
        <v>16</v>
      </c>
      <c r="C121" t="s">
        <v>150</v>
      </c>
      <c r="D121" t="s">
        <v>29</v>
      </c>
      <c r="E121">
        <v>20</v>
      </c>
      <c r="F121">
        <v>21.2</v>
      </c>
      <c r="G121">
        <v>200</v>
      </c>
      <c r="H121">
        <v>7.9</v>
      </c>
      <c r="I121">
        <v>3</v>
      </c>
      <c r="J121">
        <v>5</v>
      </c>
      <c r="K121" t="s">
        <v>23</v>
      </c>
      <c r="L121" t="s">
        <v>41</v>
      </c>
      <c r="M121">
        <v>0</v>
      </c>
      <c r="N121" t="s">
        <v>25</v>
      </c>
      <c r="O121">
        <v>83.7</v>
      </c>
    </row>
    <row r="122" spans="1:15" x14ac:dyDescent="0.3">
      <c r="A122" t="s">
        <v>470</v>
      </c>
      <c r="B122" t="s">
        <v>16</v>
      </c>
      <c r="C122" t="s">
        <v>210</v>
      </c>
      <c r="D122" t="s">
        <v>29</v>
      </c>
      <c r="E122">
        <v>23</v>
      </c>
      <c r="F122">
        <v>25.2</v>
      </c>
      <c r="G122">
        <v>25.6</v>
      </c>
      <c r="H122">
        <v>5.3</v>
      </c>
      <c r="I122">
        <v>1</v>
      </c>
      <c r="J122">
        <v>3</v>
      </c>
      <c r="K122" t="s">
        <v>23</v>
      </c>
      <c r="L122" t="s">
        <v>24</v>
      </c>
      <c r="M122">
        <v>1</v>
      </c>
      <c r="N122" t="s">
        <v>35</v>
      </c>
      <c r="O122">
        <v>87</v>
      </c>
    </row>
    <row r="123" spans="1:15" x14ac:dyDescent="0.3">
      <c r="A123" t="s">
        <v>475</v>
      </c>
      <c r="B123" t="s">
        <v>86</v>
      </c>
      <c r="C123" t="s">
        <v>17</v>
      </c>
      <c r="D123" t="s">
        <v>18</v>
      </c>
      <c r="E123">
        <v>25</v>
      </c>
      <c r="F123">
        <v>15.1</v>
      </c>
      <c r="G123">
        <v>48</v>
      </c>
      <c r="I123">
        <v>1</v>
      </c>
      <c r="J123">
        <v>4</v>
      </c>
      <c r="K123" t="s">
        <v>51</v>
      </c>
      <c r="L123" t="s">
        <v>34</v>
      </c>
      <c r="M123">
        <v>1</v>
      </c>
      <c r="N123" t="s">
        <v>35</v>
      </c>
      <c r="O123">
        <v>86.7</v>
      </c>
    </row>
    <row r="124" spans="1:15" x14ac:dyDescent="0.3">
      <c r="A124" t="s">
        <v>478</v>
      </c>
      <c r="B124" t="s">
        <v>16</v>
      </c>
      <c r="C124" t="s">
        <v>17</v>
      </c>
      <c r="D124" t="s">
        <v>29</v>
      </c>
      <c r="E124">
        <v>25</v>
      </c>
      <c r="F124">
        <v>19</v>
      </c>
      <c r="G124">
        <v>132</v>
      </c>
      <c r="H124">
        <v>8.9</v>
      </c>
      <c r="I124">
        <v>3</v>
      </c>
      <c r="J124">
        <v>4</v>
      </c>
      <c r="K124" t="s">
        <v>51</v>
      </c>
      <c r="L124" t="s">
        <v>34</v>
      </c>
      <c r="M124">
        <v>4</v>
      </c>
      <c r="N124" t="s">
        <v>61</v>
      </c>
      <c r="O124">
        <v>81.8</v>
      </c>
    </row>
    <row r="125" spans="1:15" x14ac:dyDescent="0.3">
      <c r="A125" t="s">
        <v>481</v>
      </c>
      <c r="B125" t="s">
        <v>16</v>
      </c>
      <c r="C125" t="s">
        <v>43</v>
      </c>
      <c r="D125" t="s">
        <v>29</v>
      </c>
      <c r="E125">
        <v>26</v>
      </c>
      <c r="G125">
        <v>9</v>
      </c>
      <c r="H125">
        <v>6.8</v>
      </c>
      <c r="I125">
        <v>4</v>
      </c>
      <c r="J125">
        <v>2</v>
      </c>
      <c r="K125" t="s">
        <v>23</v>
      </c>
      <c r="L125" t="s">
        <v>24</v>
      </c>
      <c r="M125">
        <v>2</v>
      </c>
      <c r="O125">
        <v>67.3</v>
      </c>
    </row>
    <row r="126" spans="1:15" x14ac:dyDescent="0.3">
      <c r="A126" t="s">
        <v>484</v>
      </c>
      <c r="B126" t="s">
        <v>80</v>
      </c>
      <c r="C126" t="s">
        <v>210</v>
      </c>
      <c r="D126" t="s">
        <v>18</v>
      </c>
      <c r="E126">
        <v>26</v>
      </c>
      <c r="F126">
        <v>20.7</v>
      </c>
      <c r="G126">
        <v>11.8</v>
      </c>
      <c r="H126">
        <v>7.2</v>
      </c>
      <c r="I126">
        <v>3</v>
      </c>
      <c r="J126">
        <v>3</v>
      </c>
      <c r="K126" t="s">
        <v>23</v>
      </c>
      <c r="L126" t="s">
        <v>41</v>
      </c>
      <c r="M126">
        <v>0</v>
      </c>
      <c r="N126" t="s">
        <v>35</v>
      </c>
      <c r="O126">
        <v>83.6</v>
      </c>
    </row>
    <row r="127" spans="1:15" x14ac:dyDescent="0.3">
      <c r="A127" t="s">
        <v>487</v>
      </c>
      <c r="B127" t="s">
        <v>16</v>
      </c>
      <c r="C127" t="s">
        <v>43</v>
      </c>
      <c r="D127" t="s">
        <v>29</v>
      </c>
      <c r="E127">
        <v>20</v>
      </c>
      <c r="F127">
        <v>13.8</v>
      </c>
      <c r="G127">
        <v>43</v>
      </c>
      <c r="I127">
        <v>4</v>
      </c>
      <c r="J127">
        <v>3</v>
      </c>
      <c r="K127" t="s">
        <v>23</v>
      </c>
      <c r="L127" t="s">
        <v>41</v>
      </c>
      <c r="M127">
        <v>0</v>
      </c>
      <c r="O127">
        <v>68.2</v>
      </c>
    </row>
    <row r="128" spans="1:15" x14ac:dyDescent="0.3">
      <c r="A128" t="s">
        <v>491</v>
      </c>
      <c r="B128" t="s">
        <v>80</v>
      </c>
      <c r="C128" t="s">
        <v>150</v>
      </c>
      <c r="D128" t="s">
        <v>18</v>
      </c>
      <c r="E128">
        <v>25</v>
      </c>
      <c r="F128">
        <v>10.4</v>
      </c>
      <c r="G128">
        <v>39.5</v>
      </c>
      <c r="H128">
        <v>6.9</v>
      </c>
      <c r="I128">
        <v>2</v>
      </c>
      <c r="J128">
        <v>4</v>
      </c>
      <c r="K128" t="s">
        <v>23</v>
      </c>
      <c r="L128" t="s">
        <v>41</v>
      </c>
      <c r="M128">
        <v>0</v>
      </c>
      <c r="N128" t="s">
        <v>83</v>
      </c>
      <c r="O128">
        <v>70.900000000000006</v>
      </c>
    </row>
    <row r="129" spans="1:15" x14ac:dyDescent="0.3">
      <c r="A129" t="s">
        <v>494</v>
      </c>
      <c r="B129" t="s">
        <v>80</v>
      </c>
      <c r="C129" t="s">
        <v>43</v>
      </c>
      <c r="D129" t="s">
        <v>29</v>
      </c>
      <c r="E129">
        <v>22</v>
      </c>
      <c r="F129">
        <v>15</v>
      </c>
      <c r="G129">
        <v>68.2</v>
      </c>
      <c r="H129">
        <v>8.1</v>
      </c>
      <c r="I129">
        <v>2</v>
      </c>
      <c r="J129">
        <v>2</v>
      </c>
      <c r="K129" t="s">
        <v>23</v>
      </c>
      <c r="L129" t="s">
        <v>34</v>
      </c>
      <c r="M129">
        <v>3</v>
      </c>
      <c r="N129" t="s">
        <v>829</v>
      </c>
      <c r="O129">
        <v>75.2</v>
      </c>
    </row>
    <row r="130" spans="1:15" x14ac:dyDescent="0.3">
      <c r="A130" t="s">
        <v>495</v>
      </c>
      <c r="B130" t="s">
        <v>48</v>
      </c>
      <c r="C130" t="s">
        <v>17</v>
      </c>
      <c r="D130" t="s">
        <v>18</v>
      </c>
      <c r="E130">
        <v>27</v>
      </c>
      <c r="F130">
        <v>24.8</v>
      </c>
      <c r="G130">
        <v>29.3</v>
      </c>
      <c r="H130">
        <v>7</v>
      </c>
      <c r="I130">
        <v>4</v>
      </c>
      <c r="J130">
        <v>4</v>
      </c>
      <c r="K130" t="s">
        <v>23</v>
      </c>
      <c r="L130" t="s">
        <v>60</v>
      </c>
      <c r="M130">
        <v>0</v>
      </c>
      <c r="O130">
        <v>93</v>
      </c>
    </row>
    <row r="131" spans="1:15" x14ac:dyDescent="0.3">
      <c r="A131" t="s">
        <v>500</v>
      </c>
      <c r="B131" t="s">
        <v>80</v>
      </c>
      <c r="C131" t="s">
        <v>55</v>
      </c>
      <c r="D131" t="s">
        <v>18</v>
      </c>
      <c r="E131">
        <v>25</v>
      </c>
      <c r="F131">
        <v>6.8</v>
      </c>
      <c r="G131">
        <v>62</v>
      </c>
      <c r="H131">
        <v>5.6</v>
      </c>
      <c r="I131">
        <v>3</v>
      </c>
      <c r="J131">
        <v>5</v>
      </c>
      <c r="K131" t="s">
        <v>23</v>
      </c>
      <c r="L131" t="s">
        <v>34</v>
      </c>
      <c r="M131">
        <v>0</v>
      </c>
      <c r="N131" t="s">
        <v>61</v>
      </c>
      <c r="O131">
        <v>59.1</v>
      </c>
    </row>
    <row r="132" spans="1:15" x14ac:dyDescent="0.3">
      <c r="A132" t="s">
        <v>502</v>
      </c>
      <c r="B132" t="s">
        <v>48</v>
      </c>
      <c r="C132" t="s">
        <v>43</v>
      </c>
      <c r="D132" t="s">
        <v>29</v>
      </c>
      <c r="E132">
        <v>28</v>
      </c>
      <c r="F132">
        <v>18.8</v>
      </c>
      <c r="G132">
        <v>29.5</v>
      </c>
      <c r="H132">
        <v>6.4</v>
      </c>
      <c r="I132">
        <v>0</v>
      </c>
      <c r="J132">
        <v>4</v>
      </c>
      <c r="K132" t="s">
        <v>23</v>
      </c>
      <c r="L132" t="s">
        <v>34</v>
      </c>
      <c r="N132" t="s">
        <v>83</v>
      </c>
      <c r="O132">
        <v>75.7</v>
      </c>
    </row>
    <row r="133" spans="1:15" x14ac:dyDescent="0.3">
      <c r="A133" t="s">
        <v>504</v>
      </c>
      <c r="B133" t="s">
        <v>16</v>
      </c>
      <c r="C133" t="s">
        <v>55</v>
      </c>
      <c r="D133" t="s">
        <v>18</v>
      </c>
      <c r="E133">
        <v>22</v>
      </c>
      <c r="F133">
        <v>20.2</v>
      </c>
      <c r="G133">
        <v>64.099999999999994</v>
      </c>
      <c r="H133">
        <v>6.7</v>
      </c>
      <c r="I133">
        <v>5</v>
      </c>
      <c r="J133">
        <v>4</v>
      </c>
      <c r="K133" t="s">
        <v>23</v>
      </c>
      <c r="L133" t="s">
        <v>34</v>
      </c>
      <c r="M133">
        <v>0</v>
      </c>
      <c r="N133" t="s">
        <v>61</v>
      </c>
      <c r="O133">
        <v>74.900000000000006</v>
      </c>
    </row>
    <row r="134" spans="1:15" x14ac:dyDescent="0.3">
      <c r="A134" t="s">
        <v>506</v>
      </c>
      <c r="B134" t="s">
        <v>80</v>
      </c>
      <c r="C134" t="s">
        <v>17</v>
      </c>
      <c r="D134" t="s">
        <v>18</v>
      </c>
      <c r="E134">
        <v>23</v>
      </c>
      <c r="F134">
        <v>6.8</v>
      </c>
      <c r="G134">
        <v>18.100000000000001</v>
      </c>
      <c r="H134">
        <v>7.9</v>
      </c>
      <c r="I134">
        <v>6</v>
      </c>
      <c r="J134">
        <v>5</v>
      </c>
      <c r="K134" t="s">
        <v>23</v>
      </c>
      <c r="L134" t="s">
        <v>41</v>
      </c>
      <c r="M134">
        <v>0</v>
      </c>
      <c r="N134" t="s">
        <v>83</v>
      </c>
      <c r="O134">
        <v>83.4</v>
      </c>
    </row>
    <row r="135" spans="1:15" x14ac:dyDescent="0.3">
      <c r="A135" t="s">
        <v>508</v>
      </c>
      <c r="B135" t="s">
        <v>86</v>
      </c>
      <c r="C135" t="s">
        <v>17</v>
      </c>
      <c r="D135" t="s">
        <v>29</v>
      </c>
      <c r="E135">
        <v>20</v>
      </c>
      <c r="F135">
        <v>14.3</v>
      </c>
      <c r="G135">
        <v>5.4</v>
      </c>
      <c r="H135">
        <v>6.8</v>
      </c>
      <c r="I135">
        <v>2</v>
      </c>
      <c r="J135">
        <v>5</v>
      </c>
      <c r="K135" t="s">
        <v>23</v>
      </c>
      <c r="L135" t="s">
        <v>24</v>
      </c>
      <c r="M135">
        <v>2</v>
      </c>
      <c r="N135" t="s">
        <v>83</v>
      </c>
      <c r="O135">
        <v>67.3</v>
      </c>
    </row>
    <row r="136" spans="1:15" x14ac:dyDescent="0.3">
      <c r="A136" t="s">
        <v>512</v>
      </c>
      <c r="B136" t="s">
        <v>86</v>
      </c>
      <c r="C136" t="s">
        <v>210</v>
      </c>
      <c r="D136" t="s">
        <v>18</v>
      </c>
      <c r="E136">
        <v>22</v>
      </c>
      <c r="F136">
        <v>18.2</v>
      </c>
      <c r="G136">
        <v>16.100000000000001</v>
      </c>
      <c r="H136">
        <v>5.7</v>
      </c>
      <c r="I136">
        <v>5</v>
      </c>
      <c r="J136">
        <v>4</v>
      </c>
      <c r="K136" t="s">
        <v>23</v>
      </c>
      <c r="L136" t="s">
        <v>24</v>
      </c>
      <c r="M136">
        <v>0</v>
      </c>
      <c r="N136" t="s">
        <v>61</v>
      </c>
      <c r="O136">
        <v>72.900000000000006</v>
      </c>
    </row>
    <row r="137" spans="1:15" x14ac:dyDescent="0.3">
      <c r="A137" t="s">
        <v>514</v>
      </c>
      <c r="B137" t="s">
        <v>16</v>
      </c>
      <c r="C137" t="s">
        <v>43</v>
      </c>
      <c r="D137" t="s">
        <v>18</v>
      </c>
      <c r="E137">
        <v>22</v>
      </c>
      <c r="F137">
        <v>16.2</v>
      </c>
      <c r="G137">
        <v>13.4</v>
      </c>
      <c r="H137">
        <v>8.1</v>
      </c>
      <c r="I137">
        <v>2</v>
      </c>
      <c r="K137" t="s">
        <v>23</v>
      </c>
      <c r="L137" t="s">
        <v>34</v>
      </c>
      <c r="M137">
        <v>0</v>
      </c>
      <c r="N137" t="s">
        <v>35</v>
      </c>
      <c r="O137">
        <v>98.8</v>
      </c>
    </row>
    <row r="138" spans="1:15" x14ac:dyDescent="0.3">
      <c r="A138" t="s">
        <v>516</v>
      </c>
      <c r="B138" t="s">
        <v>28</v>
      </c>
      <c r="C138" t="s">
        <v>43</v>
      </c>
      <c r="D138" t="s">
        <v>29</v>
      </c>
      <c r="E138">
        <v>23</v>
      </c>
      <c r="F138">
        <v>12.7</v>
      </c>
      <c r="G138">
        <v>30.4</v>
      </c>
      <c r="H138">
        <v>5.3</v>
      </c>
      <c r="I138">
        <v>4</v>
      </c>
      <c r="J138">
        <v>4</v>
      </c>
      <c r="K138" t="s">
        <v>23</v>
      </c>
      <c r="L138" t="s">
        <v>24</v>
      </c>
      <c r="M138">
        <v>0</v>
      </c>
      <c r="N138" t="s">
        <v>25</v>
      </c>
      <c r="O138">
        <v>68.7</v>
      </c>
    </row>
    <row r="139" spans="1:15" x14ac:dyDescent="0.3">
      <c r="A139" t="s">
        <v>519</v>
      </c>
      <c r="B139" t="s">
        <v>80</v>
      </c>
      <c r="C139" t="s">
        <v>210</v>
      </c>
      <c r="D139" t="s">
        <v>18</v>
      </c>
      <c r="E139">
        <v>23</v>
      </c>
      <c r="F139">
        <v>18.100000000000001</v>
      </c>
      <c r="G139">
        <v>43.1</v>
      </c>
      <c r="H139">
        <v>8.6999999999999993</v>
      </c>
      <c r="I139">
        <v>8</v>
      </c>
      <c r="J139">
        <v>2</v>
      </c>
      <c r="K139" t="s">
        <v>23</v>
      </c>
      <c r="L139" t="s">
        <v>41</v>
      </c>
      <c r="M139">
        <v>0</v>
      </c>
      <c r="N139" t="s">
        <v>829</v>
      </c>
      <c r="O139">
        <v>88.1</v>
      </c>
    </row>
    <row r="140" spans="1:15" x14ac:dyDescent="0.3">
      <c r="A140" t="s">
        <v>522</v>
      </c>
      <c r="B140" t="s">
        <v>48</v>
      </c>
      <c r="C140" t="s">
        <v>210</v>
      </c>
      <c r="D140" t="s">
        <v>29</v>
      </c>
      <c r="E140">
        <v>21</v>
      </c>
      <c r="F140">
        <v>12.5</v>
      </c>
      <c r="G140">
        <v>15.8</v>
      </c>
      <c r="H140">
        <v>8.3000000000000007</v>
      </c>
      <c r="I140">
        <v>2</v>
      </c>
      <c r="J140">
        <v>4</v>
      </c>
      <c r="K140" t="s">
        <v>23</v>
      </c>
      <c r="L140" t="s">
        <v>34</v>
      </c>
      <c r="M140">
        <v>1</v>
      </c>
      <c r="N140" t="s">
        <v>238</v>
      </c>
      <c r="O140">
        <v>75.8</v>
      </c>
    </row>
    <row r="141" spans="1:15" x14ac:dyDescent="0.3">
      <c r="A141" t="s">
        <v>836</v>
      </c>
      <c r="B141" t="s">
        <v>80</v>
      </c>
      <c r="C141" t="s">
        <v>210</v>
      </c>
      <c r="D141" t="s">
        <v>18</v>
      </c>
      <c r="E141">
        <v>25</v>
      </c>
      <c r="F141">
        <v>12.8</v>
      </c>
      <c r="G141">
        <v>52.2</v>
      </c>
      <c r="H141">
        <v>6.4</v>
      </c>
      <c r="I141">
        <v>2</v>
      </c>
      <c r="J141">
        <v>3</v>
      </c>
      <c r="K141" t="s">
        <v>23</v>
      </c>
      <c r="L141" t="s">
        <v>41</v>
      </c>
      <c r="M141">
        <v>3</v>
      </c>
      <c r="N141" t="s">
        <v>25</v>
      </c>
      <c r="O141">
        <v>74</v>
      </c>
    </row>
    <row r="142" spans="1:15" x14ac:dyDescent="0.3">
      <c r="A142" t="s">
        <v>529</v>
      </c>
      <c r="B142" t="s">
        <v>16</v>
      </c>
      <c r="C142" t="s">
        <v>17</v>
      </c>
      <c r="D142" t="s">
        <v>29</v>
      </c>
      <c r="E142">
        <v>24</v>
      </c>
      <c r="F142">
        <v>25.8</v>
      </c>
      <c r="G142">
        <v>256.5</v>
      </c>
      <c r="H142">
        <v>6</v>
      </c>
      <c r="I142">
        <v>7</v>
      </c>
      <c r="J142">
        <v>4</v>
      </c>
      <c r="K142" t="s">
        <v>23</v>
      </c>
      <c r="L142" t="s">
        <v>24</v>
      </c>
      <c r="M142">
        <v>0</v>
      </c>
      <c r="N142" t="s">
        <v>238</v>
      </c>
      <c r="O142">
        <v>99</v>
      </c>
    </row>
    <row r="143" spans="1:15" x14ac:dyDescent="0.3">
      <c r="A143" t="s">
        <v>533</v>
      </c>
      <c r="B143" t="s">
        <v>16</v>
      </c>
      <c r="C143" t="s">
        <v>17</v>
      </c>
      <c r="D143" t="s">
        <v>29</v>
      </c>
      <c r="E143">
        <v>22</v>
      </c>
      <c r="G143">
        <v>37.200000000000003</v>
      </c>
      <c r="H143">
        <v>7.6</v>
      </c>
      <c r="I143">
        <v>1</v>
      </c>
      <c r="J143">
        <v>5</v>
      </c>
      <c r="K143" t="s">
        <v>23</v>
      </c>
      <c r="L143" t="s">
        <v>41</v>
      </c>
      <c r="M143">
        <v>0</v>
      </c>
      <c r="N143" t="s">
        <v>35</v>
      </c>
      <c r="O143">
        <v>88.3</v>
      </c>
    </row>
    <row r="144" spans="1:15" x14ac:dyDescent="0.3">
      <c r="A144" t="s">
        <v>536</v>
      </c>
      <c r="B144" t="s">
        <v>80</v>
      </c>
      <c r="C144" t="s">
        <v>43</v>
      </c>
      <c r="D144" t="s">
        <v>18</v>
      </c>
      <c r="E144">
        <v>26</v>
      </c>
      <c r="F144">
        <v>21</v>
      </c>
      <c r="G144">
        <v>48</v>
      </c>
      <c r="H144">
        <v>3.8</v>
      </c>
      <c r="I144">
        <v>1</v>
      </c>
      <c r="J144">
        <v>3</v>
      </c>
      <c r="K144" t="s">
        <v>23</v>
      </c>
      <c r="L144" t="s">
        <v>60</v>
      </c>
      <c r="M144">
        <v>0</v>
      </c>
      <c r="N144" t="s">
        <v>61</v>
      </c>
      <c r="O144">
        <v>85.2</v>
      </c>
    </row>
    <row r="145" spans="1:15" x14ac:dyDescent="0.3">
      <c r="A145" t="s">
        <v>538</v>
      </c>
      <c r="B145" t="s">
        <v>16</v>
      </c>
      <c r="C145" t="s">
        <v>210</v>
      </c>
      <c r="D145" t="s">
        <v>18</v>
      </c>
      <c r="E145">
        <v>21</v>
      </c>
      <c r="F145">
        <v>12.9</v>
      </c>
      <c r="G145">
        <v>29.6</v>
      </c>
      <c r="H145">
        <v>6.9</v>
      </c>
      <c r="I145">
        <v>3</v>
      </c>
      <c r="J145">
        <v>4</v>
      </c>
      <c r="K145" t="s">
        <v>23</v>
      </c>
      <c r="L145" t="s">
        <v>24</v>
      </c>
      <c r="M145">
        <v>3</v>
      </c>
      <c r="N145" t="s">
        <v>35</v>
      </c>
      <c r="O145">
        <v>84.2</v>
      </c>
    </row>
    <row r="146" spans="1:15" x14ac:dyDescent="0.3">
      <c r="A146" t="s">
        <v>540</v>
      </c>
      <c r="B146" t="s">
        <v>16</v>
      </c>
      <c r="C146" t="s">
        <v>43</v>
      </c>
      <c r="D146" t="s">
        <v>29</v>
      </c>
      <c r="E146">
        <v>25</v>
      </c>
      <c r="F146">
        <v>17.399999999999999</v>
      </c>
      <c r="G146">
        <v>26.1</v>
      </c>
      <c r="H146">
        <v>6.4</v>
      </c>
      <c r="I146">
        <v>2</v>
      </c>
      <c r="J146">
        <v>5</v>
      </c>
      <c r="K146" t="s">
        <v>51</v>
      </c>
      <c r="L146" t="s">
        <v>41</v>
      </c>
      <c r="M146">
        <v>0</v>
      </c>
      <c r="N146" t="s">
        <v>35</v>
      </c>
      <c r="O146">
        <v>87.7</v>
      </c>
    </row>
    <row r="147" spans="1:15" x14ac:dyDescent="0.3">
      <c r="A147" t="s">
        <v>543</v>
      </c>
      <c r="B147" t="s">
        <v>16</v>
      </c>
      <c r="C147" t="s">
        <v>55</v>
      </c>
      <c r="D147" t="s">
        <v>29</v>
      </c>
      <c r="E147">
        <v>25</v>
      </c>
      <c r="F147">
        <v>5.0999999999999996</v>
      </c>
      <c r="G147">
        <v>154</v>
      </c>
      <c r="H147">
        <v>6.6</v>
      </c>
      <c r="I147">
        <v>2</v>
      </c>
      <c r="J147">
        <v>4</v>
      </c>
      <c r="K147" t="s">
        <v>23</v>
      </c>
      <c r="L147" t="s">
        <v>34</v>
      </c>
      <c r="M147">
        <v>0</v>
      </c>
      <c r="N147" t="s">
        <v>25</v>
      </c>
      <c r="O147">
        <v>50.4</v>
      </c>
    </row>
    <row r="148" spans="1:15" x14ac:dyDescent="0.3">
      <c r="A148" t="s">
        <v>547</v>
      </c>
      <c r="B148" t="s">
        <v>86</v>
      </c>
      <c r="C148" t="s">
        <v>150</v>
      </c>
      <c r="D148" t="s">
        <v>18</v>
      </c>
      <c r="E148">
        <v>25</v>
      </c>
      <c r="F148">
        <v>16.600000000000001</v>
      </c>
      <c r="G148">
        <v>11.1</v>
      </c>
      <c r="H148">
        <v>5.4</v>
      </c>
      <c r="I148">
        <v>1</v>
      </c>
      <c r="J148">
        <v>3</v>
      </c>
      <c r="K148" t="s">
        <v>51</v>
      </c>
      <c r="L148" t="s">
        <v>41</v>
      </c>
      <c r="M148">
        <v>0</v>
      </c>
      <c r="N148" t="s">
        <v>35</v>
      </c>
    </row>
    <row r="149" spans="1:15" x14ac:dyDescent="0.3">
      <c r="A149" t="s">
        <v>549</v>
      </c>
      <c r="B149" t="s">
        <v>16</v>
      </c>
      <c r="C149" t="s">
        <v>43</v>
      </c>
      <c r="D149" t="s">
        <v>18</v>
      </c>
      <c r="E149">
        <v>25</v>
      </c>
      <c r="F149">
        <v>19.2</v>
      </c>
      <c r="G149">
        <v>39.299999999999997</v>
      </c>
      <c r="H149">
        <v>6.8</v>
      </c>
      <c r="I149">
        <v>3</v>
      </c>
      <c r="J149">
        <v>3</v>
      </c>
      <c r="K149" t="s">
        <v>23</v>
      </c>
      <c r="L149" t="s">
        <v>41</v>
      </c>
      <c r="M149">
        <v>4</v>
      </c>
      <c r="N149" t="s">
        <v>35</v>
      </c>
      <c r="O149">
        <v>85.6</v>
      </c>
    </row>
    <row r="150" spans="1:15" x14ac:dyDescent="0.3">
      <c r="A150" t="s">
        <v>552</v>
      </c>
      <c r="B150" t="s">
        <v>16</v>
      </c>
      <c r="C150" t="s">
        <v>17</v>
      </c>
      <c r="D150" t="s">
        <v>29</v>
      </c>
      <c r="E150">
        <v>26</v>
      </c>
      <c r="F150">
        <v>23.1</v>
      </c>
      <c r="G150">
        <v>36.5</v>
      </c>
      <c r="H150">
        <v>5.4</v>
      </c>
      <c r="I150">
        <v>0</v>
      </c>
      <c r="J150">
        <v>4</v>
      </c>
      <c r="K150" t="s">
        <v>51</v>
      </c>
      <c r="L150" t="s">
        <v>60</v>
      </c>
      <c r="M150">
        <v>0</v>
      </c>
      <c r="N150" t="s">
        <v>35</v>
      </c>
      <c r="O150">
        <v>92.3</v>
      </c>
    </row>
    <row r="151" spans="1:15" x14ac:dyDescent="0.3">
      <c r="A151" t="s">
        <v>555</v>
      </c>
      <c r="B151" t="s">
        <v>16</v>
      </c>
      <c r="C151" t="s">
        <v>55</v>
      </c>
      <c r="D151" t="s">
        <v>29</v>
      </c>
      <c r="E151">
        <v>25</v>
      </c>
      <c r="F151">
        <v>16.7</v>
      </c>
      <c r="G151">
        <v>126.7</v>
      </c>
      <c r="H151">
        <v>8.3000000000000007</v>
      </c>
      <c r="I151">
        <v>2</v>
      </c>
      <c r="J151">
        <v>4</v>
      </c>
      <c r="K151" t="s">
        <v>51</v>
      </c>
      <c r="L151" t="s">
        <v>41</v>
      </c>
      <c r="M151">
        <v>2</v>
      </c>
      <c r="N151" t="s">
        <v>35</v>
      </c>
      <c r="O151">
        <v>69.2</v>
      </c>
    </row>
    <row r="152" spans="1:15" x14ac:dyDescent="0.3">
      <c r="A152" t="s">
        <v>559</v>
      </c>
      <c r="B152" t="s">
        <v>80</v>
      </c>
      <c r="C152" t="s">
        <v>43</v>
      </c>
      <c r="D152" t="s">
        <v>18</v>
      </c>
      <c r="E152">
        <v>25</v>
      </c>
      <c r="F152">
        <v>20.5</v>
      </c>
      <c r="H152">
        <v>6.4</v>
      </c>
      <c r="I152">
        <v>3</v>
      </c>
      <c r="J152">
        <v>3</v>
      </c>
      <c r="K152" t="s">
        <v>23</v>
      </c>
      <c r="L152" t="s">
        <v>41</v>
      </c>
      <c r="M152">
        <v>1</v>
      </c>
      <c r="N152" t="s">
        <v>61</v>
      </c>
      <c r="O152">
        <v>95.6</v>
      </c>
    </row>
    <row r="153" spans="1:15" x14ac:dyDescent="0.3">
      <c r="A153" t="s">
        <v>561</v>
      </c>
      <c r="B153" t="s">
        <v>80</v>
      </c>
      <c r="C153" t="s">
        <v>150</v>
      </c>
      <c r="D153" t="s">
        <v>29</v>
      </c>
      <c r="E153">
        <v>28</v>
      </c>
      <c r="F153">
        <v>30.8</v>
      </c>
      <c r="G153">
        <v>19.5</v>
      </c>
      <c r="I153">
        <v>0</v>
      </c>
      <c r="J153">
        <v>4</v>
      </c>
      <c r="K153" t="s">
        <v>23</v>
      </c>
      <c r="L153" t="s">
        <v>34</v>
      </c>
      <c r="M153">
        <v>0</v>
      </c>
      <c r="N153" t="s">
        <v>25</v>
      </c>
      <c r="O153">
        <v>100</v>
      </c>
    </row>
    <row r="154" spans="1:15" x14ac:dyDescent="0.3">
      <c r="A154" t="s">
        <v>837</v>
      </c>
      <c r="B154" t="s">
        <v>28</v>
      </c>
      <c r="C154" t="s">
        <v>43</v>
      </c>
      <c r="D154" t="s">
        <v>29</v>
      </c>
      <c r="E154">
        <v>23</v>
      </c>
      <c r="F154">
        <v>22.9</v>
      </c>
      <c r="G154">
        <v>36.9</v>
      </c>
      <c r="H154">
        <v>6.4</v>
      </c>
      <c r="I154">
        <v>3</v>
      </c>
      <c r="J154">
        <v>3</v>
      </c>
      <c r="K154" t="s">
        <v>23</v>
      </c>
      <c r="L154" t="s">
        <v>24</v>
      </c>
      <c r="M154">
        <v>0</v>
      </c>
      <c r="N154" t="s">
        <v>25</v>
      </c>
      <c r="O154">
        <v>86.4</v>
      </c>
    </row>
    <row r="155" spans="1:15" x14ac:dyDescent="0.3">
      <c r="A155" t="s">
        <v>568</v>
      </c>
      <c r="B155" t="s">
        <v>86</v>
      </c>
      <c r="C155" t="s">
        <v>43</v>
      </c>
      <c r="D155" t="s">
        <v>18</v>
      </c>
      <c r="E155">
        <v>21</v>
      </c>
      <c r="F155">
        <v>9.8000000000000007</v>
      </c>
      <c r="G155">
        <v>9.8000000000000007</v>
      </c>
      <c r="H155">
        <v>7.3</v>
      </c>
      <c r="I155">
        <v>6</v>
      </c>
      <c r="J155">
        <v>5</v>
      </c>
      <c r="K155" t="s">
        <v>23</v>
      </c>
      <c r="L155" t="s">
        <v>24</v>
      </c>
      <c r="M155">
        <v>0</v>
      </c>
      <c r="N155" t="s">
        <v>35</v>
      </c>
      <c r="O155">
        <v>91.8</v>
      </c>
    </row>
    <row r="156" spans="1:15" x14ac:dyDescent="0.3">
      <c r="A156" t="s">
        <v>570</v>
      </c>
      <c r="B156" t="s">
        <v>86</v>
      </c>
      <c r="C156" t="s">
        <v>210</v>
      </c>
      <c r="D156" t="s">
        <v>29</v>
      </c>
      <c r="E156">
        <v>23</v>
      </c>
      <c r="F156">
        <v>16.5</v>
      </c>
      <c r="G156">
        <v>66.599999999999994</v>
      </c>
      <c r="H156">
        <v>6.7</v>
      </c>
      <c r="I156">
        <v>6</v>
      </c>
      <c r="J156">
        <v>4</v>
      </c>
      <c r="K156" t="s">
        <v>23</v>
      </c>
      <c r="L156" t="s">
        <v>34</v>
      </c>
      <c r="M156">
        <v>0</v>
      </c>
      <c r="N156" t="s">
        <v>61</v>
      </c>
      <c r="O156">
        <v>77</v>
      </c>
    </row>
    <row r="157" spans="1:15" x14ac:dyDescent="0.3">
      <c r="A157" t="s">
        <v>571</v>
      </c>
      <c r="B157" t="s">
        <v>28</v>
      </c>
      <c r="C157" t="s">
        <v>43</v>
      </c>
      <c r="D157" t="s">
        <v>29</v>
      </c>
      <c r="E157">
        <v>23</v>
      </c>
      <c r="F157">
        <v>11.4</v>
      </c>
      <c r="G157">
        <v>20.9</v>
      </c>
      <c r="H157">
        <v>7</v>
      </c>
      <c r="I157">
        <v>5</v>
      </c>
      <c r="J157">
        <v>2</v>
      </c>
      <c r="K157" t="s">
        <v>23</v>
      </c>
      <c r="L157" t="s">
        <v>34</v>
      </c>
      <c r="M157">
        <v>0</v>
      </c>
      <c r="N157" t="s">
        <v>83</v>
      </c>
      <c r="O157">
        <v>74.599999999999994</v>
      </c>
    </row>
    <row r="158" spans="1:15" x14ac:dyDescent="0.3">
      <c r="A158" t="s">
        <v>572</v>
      </c>
      <c r="B158" t="s">
        <v>16</v>
      </c>
      <c r="C158" t="s">
        <v>150</v>
      </c>
      <c r="D158" t="s">
        <v>29</v>
      </c>
      <c r="E158">
        <v>23</v>
      </c>
      <c r="F158">
        <v>17.899999999999999</v>
      </c>
      <c r="G158">
        <v>18.7</v>
      </c>
      <c r="H158">
        <v>7.2</v>
      </c>
      <c r="I158">
        <v>4</v>
      </c>
      <c r="J158">
        <v>5</v>
      </c>
      <c r="K158" t="s">
        <v>51</v>
      </c>
      <c r="L158" t="s">
        <v>41</v>
      </c>
      <c r="M158">
        <v>0</v>
      </c>
      <c r="N158" t="s">
        <v>35</v>
      </c>
      <c r="O158">
        <v>73.400000000000006</v>
      </c>
    </row>
    <row r="159" spans="1:15" x14ac:dyDescent="0.3">
      <c r="A159" t="s">
        <v>574</v>
      </c>
      <c r="B159" t="s">
        <v>80</v>
      </c>
      <c r="C159" t="s">
        <v>17</v>
      </c>
      <c r="D159" t="s">
        <v>18</v>
      </c>
      <c r="E159">
        <v>23</v>
      </c>
      <c r="F159">
        <v>15.3</v>
      </c>
      <c r="G159">
        <v>26.6</v>
      </c>
      <c r="H159">
        <v>4</v>
      </c>
      <c r="I159">
        <v>5</v>
      </c>
      <c r="J159">
        <v>4</v>
      </c>
      <c r="K159" t="s">
        <v>51</v>
      </c>
      <c r="L159" t="s">
        <v>34</v>
      </c>
      <c r="M159">
        <v>0</v>
      </c>
      <c r="N159" t="s">
        <v>35</v>
      </c>
      <c r="O159">
        <v>79.400000000000006</v>
      </c>
    </row>
    <row r="160" spans="1:15" x14ac:dyDescent="0.3">
      <c r="A160" t="s">
        <v>578</v>
      </c>
      <c r="B160" t="s">
        <v>86</v>
      </c>
      <c r="C160" t="s">
        <v>17</v>
      </c>
      <c r="D160" t="s">
        <v>18</v>
      </c>
      <c r="E160">
        <v>24</v>
      </c>
      <c r="F160">
        <v>23.5</v>
      </c>
      <c r="G160">
        <v>27</v>
      </c>
      <c r="H160">
        <v>5.6</v>
      </c>
      <c r="I160">
        <v>2</v>
      </c>
      <c r="J160">
        <v>5</v>
      </c>
      <c r="K160" t="s">
        <v>23</v>
      </c>
      <c r="L160" t="s">
        <v>34</v>
      </c>
      <c r="M160">
        <v>0</v>
      </c>
      <c r="N160" t="s">
        <v>61</v>
      </c>
      <c r="O160">
        <v>94.8</v>
      </c>
    </row>
    <row r="161" spans="1:15" x14ac:dyDescent="0.3">
      <c r="A161" t="s">
        <v>582</v>
      </c>
      <c r="B161" t="s">
        <v>48</v>
      </c>
      <c r="C161" t="s">
        <v>17</v>
      </c>
      <c r="D161" t="s">
        <v>29</v>
      </c>
      <c r="E161">
        <v>24</v>
      </c>
      <c r="F161">
        <v>21.9</v>
      </c>
      <c r="G161">
        <v>23</v>
      </c>
      <c r="H161">
        <v>7.3</v>
      </c>
      <c r="I161">
        <v>2</v>
      </c>
      <c r="K161" t="s">
        <v>51</v>
      </c>
      <c r="L161" t="s">
        <v>41</v>
      </c>
      <c r="M161">
        <v>0</v>
      </c>
      <c r="N161" t="s">
        <v>35</v>
      </c>
      <c r="O161">
        <v>97.3</v>
      </c>
    </row>
    <row r="162" spans="1:15" x14ac:dyDescent="0.3">
      <c r="A162" t="s">
        <v>585</v>
      </c>
      <c r="B162" t="s">
        <v>86</v>
      </c>
      <c r="C162" t="s">
        <v>150</v>
      </c>
      <c r="D162" t="s">
        <v>18</v>
      </c>
      <c r="E162">
        <v>21</v>
      </c>
      <c r="F162">
        <v>24.4</v>
      </c>
      <c r="G162">
        <v>190.2</v>
      </c>
      <c r="H162">
        <v>6.3</v>
      </c>
      <c r="I162">
        <v>5</v>
      </c>
      <c r="J162">
        <v>2</v>
      </c>
      <c r="K162" t="s">
        <v>51</v>
      </c>
      <c r="L162" t="s">
        <v>77</v>
      </c>
      <c r="M162">
        <v>0</v>
      </c>
      <c r="N162" t="s">
        <v>61</v>
      </c>
      <c r="O162">
        <v>85.6</v>
      </c>
    </row>
    <row r="163" spans="1:15" x14ac:dyDescent="0.3">
      <c r="A163" t="s">
        <v>588</v>
      </c>
      <c r="B163" t="s">
        <v>28</v>
      </c>
      <c r="C163" t="s">
        <v>43</v>
      </c>
      <c r="D163" t="s">
        <v>29</v>
      </c>
      <c r="E163">
        <v>24</v>
      </c>
      <c r="F163">
        <v>12.9</v>
      </c>
      <c r="G163">
        <v>24.1</v>
      </c>
      <c r="H163">
        <v>6.6</v>
      </c>
      <c r="I163">
        <v>4</v>
      </c>
      <c r="J163">
        <v>5</v>
      </c>
      <c r="K163" t="s">
        <v>23</v>
      </c>
      <c r="L163" t="s">
        <v>34</v>
      </c>
      <c r="M163">
        <v>0</v>
      </c>
      <c r="N163" t="s">
        <v>25</v>
      </c>
      <c r="O163">
        <v>81.099999999999994</v>
      </c>
    </row>
    <row r="164" spans="1:15" x14ac:dyDescent="0.3">
      <c r="A164" t="s">
        <v>591</v>
      </c>
      <c r="B164" t="s">
        <v>86</v>
      </c>
      <c r="C164" t="s">
        <v>150</v>
      </c>
      <c r="D164" t="s">
        <v>29</v>
      </c>
      <c r="E164">
        <v>23</v>
      </c>
      <c r="F164">
        <v>12.6</v>
      </c>
      <c r="G164">
        <v>21</v>
      </c>
      <c r="H164">
        <v>7</v>
      </c>
      <c r="I164">
        <v>2</v>
      </c>
      <c r="J164">
        <v>3</v>
      </c>
      <c r="K164" t="s">
        <v>23</v>
      </c>
      <c r="L164" t="s">
        <v>77</v>
      </c>
      <c r="M164">
        <v>0</v>
      </c>
      <c r="N164" t="s">
        <v>35</v>
      </c>
      <c r="O164">
        <v>77.599999999999994</v>
      </c>
    </row>
    <row r="165" spans="1:15" x14ac:dyDescent="0.3">
      <c r="A165" t="s">
        <v>594</v>
      </c>
      <c r="B165" t="s">
        <v>16</v>
      </c>
      <c r="C165" t="s">
        <v>43</v>
      </c>
      <c r="D165" t="s">
        <v>29</v>
      </c>
      <c r="E165">
        <v>20</v>
      </c>
      <c r="F165">
        <v>22.6</v>
      </c>
      <c r="G165">
        <v>97.9</v>
      </c>
      <c r="H165">
        <v>6.7</v>
      </c>
      <c r="I165">
        <v>1</v>
      </c>
      <c r="J165">
        <v>4</v>
      </c>
      <c r="K165" t="s">
        <v>23</v>
      </c>
      <c r="L165" t="s">
        <v>60</v>
      </c>
      <c r="M165">
        <v>0</v>
      </c>
      <c r="N165" t="s">
        <v>35</v>
      </c>
      <c r="O165">
        <v>80.7</v>
      </c>
    </row>
    <row r="166" spans="1:15" x14ac:dyDescent="0.3">
      <c r="A166" t="s">
        <v>598</v>
      </c>
      <c r="B166" t="s">
        <v>48</v>
      </c>
      <c r="C166" t="s">
        <v>210</v>
      </c>
      <c r="D166" t="s">
        <v>18</v>
      </c>
      <c r="E166">
        <v>22</v>
      </c>
      <c r="F166">
        <v>19.3</v>
      </c>
      <c r="G166">
        <v>209.8</v>
      </c>
      <c r="H166">
        <v>7</v>
      </c>
      <c r="I166">
        <v>6</v>
      </c>
      <c r="J166">
        <v>3</v>
      </c>
      <c r="K166" t="s">
        <v>23</v>
      </c>
      <c r="L166" t="s">
        <v>41</v>
      </c>
      <c r="M166">
        <v>0</v>
      </c>
      <c r="N166" t="s">
        <v>829</v>
      </c>
    </row>
    <row r="167" spans="1:15" x14ac:dyDescent="0.3">
      <c r="A167" t="s">
        <v>601</v>
      </c>
      <c r="B167" t="s">
        <v>16</v>
      </c>
      <c r="C167" t="s">
        <v>210</v>
      </c>
      <c r="D167" t="s">
        <v>29</v>
      </c>
      <c r="E167">
        <v>26</v>
      </c>
      <c r="F167">
        <v>9.3000000000000007</v>
      </c>
      <c r="G167">
        <v>54.1</v>
      </c>
      <c r="H167">
        <v>7</v>
      </c>
      <c r="I167">
        <v>3</v>
      </c>
      <c r="J167">
        <v>3</v>
      </c>
      <c r="K167" t="s">
        <v>23</v>
      </c>
      <c r="L167" t="s">
        <v>34</v>
      </c>
      <c r="M167">
        <v>0</v>
      </c>
      <c r="N167" t="s">
        <v>61</v>
      </c>
    </row>
    <row r="168" spans="1:15" x14ac:dyDescent="0.3">
      <c r="A168" t="s">
        <v>603</v>
      </c>
      <c r="B168" t="s">
        <v>80</v>
      </c>
      <c r="C168" t="s">
        <v>17</v>
      </c>
      <c r="D168" t="s">
        <v>29</v>
      </c>
      <c r="E168">
        <v>25</v>
      </c>
      <c r="F168">
        <v>23.8</v>
      </c>
      <c r="G168">
        <v>25.9</v>
      </c>
      <c r="H168">
        <v>5</v>
      </c>
      <c r="I168">
        <v>2</v>
      </c>
      <c r="J168">
        <v>3</v>
      </c>
      <c r="K168" t="s">
        <v>23</v>
      </c>
      <c r="L168" t="s">
        <v>24</v>
      </c>
      <c r="M168">
        <v>0</v>
      </c>
      <c r="N168" t="s">
        <v>61</v>
      </c>
      <c r="O168">
        <v>80.3</v>
      </c>
    </row>
    <row r="169" spans="1:15" x14ac:dyDescent="0.3">
      <c r="A169" t="s">
        <v>604</v>
      </c>
      <c r="B169" t="s">
        <v>80</v>
      </c>
      <c r="C169" t="s">
        <v>43</v>
      </c>
      <c r="D169" t="s">
        <v>18</v>
      </c>
      <c r="E169">
        <v>24</v>
      </c>
      <c r="F169">
        <v>19.5</v>
      </c>
      <c r="G169">
        <v>36.4</v>
      </c>
      <c r="H169">
        <v>7.3</v>
      </c>
      <c r="I169">
        <v>2</v>
      </c>
      <c r="J169">
        <v>3</v>
      </c>
      <c r="K169" t="s">
        <v>23</v>
      </c>
      <c r="L169" t="s">
        <v>34</v>
      </c>
      <c r="M169">
        <v>0</v>
      </c>
      <c r="N169" t="s">
        <v>829</v>
      </c>
      <c r="O169">
        <v>88.2</v>
      </c>
    </row>
    <row r="170" spans="1:15" x14ac:dyDescent="0.3">
      <c r="A170" t="s">
        <v>607</v>
      </c>
      <c r="B170" t="s">
        <v>28</v>
      </c>
      <c r="C170" t="s">
        <v>43</v>
      </c>
      <c r="D170" t="s">
        <v>29</v>
      </c>
      <c r="E170">
        <v>23</v>
      </c>
      <c r="F170">
        <v>19.600000000000001</v>
      </c>
      <c r="G170">
        <v>26.1</v>
      </c>
      <c r="H170">
        <v>7.2</v>
      </c>
      <c r="I170">
        <v>4</v>
      </c>
      <c r="J170">
        <v>4</v>
      </c>
      <c r="K170" t="s">
        <v>23</v>
      </c>
      <c r="L170" t="s">
        <v>24</v>
      </c>
      <c r="M170">
        <v>0</v>
      </c>
      <c r="O170">
        <v>86.9</v>
      </c>
    </row>
    <row r="171" spans="1:15" x14ac:dyDescent="0.3">
      <c r="A171" t="s">
        <v>610</v>
      </c>
      <c r="B171" t="s">
        <v>80</v>
      </c>
      <c r="C171" t="s">
        <v>17</v>
      </c>
      <c r="D171" t="s">
        <v>18</v>
      </c>
      <c r="E171">
        <v>26</v>
      </c>
      <c r="F171">
        <v>23.4</v>
      </c>
      <c r="G171">
        <v>61.7</v>
      </c>
      <c r="H171">
        <v>6.7</v>
      </c>
      <c r="I171">
        <v>1</v>
      </c>
      <c r="J171">
        <v>4</v>
      </c>
      <c r="K171" t="s">
        <v>23</v>
      </c>
      <c r="L171" t="s">
        <v>41</v>
      </c>
      <c r="M171">
        <v>0</v>
      </c>
      <c r="N171" t="s">
        <v>829</v>
      </c>
      <c r="O171">
        <v>95.6</v>
      </c>
    </row>
    <row r="172" spans="1:15" x14ac:dyDescent="0.3">
      <c r="A172" t="s">
        <v>612</v>
      </c>
      <c r="B172" t="s">
        <v>80</v>
      </c>
      <c r="C172" t="s">
        <v>17</v>
      </c>
      <c r="D172" t="s">
        <v>29</v>
      </c>
      <c r="E172">
        <v>24</v>
      </c>
      <c r="F172">
        <v>8.1</v>
      </c>
      <c r="G172">
        <v>35</v>
      </c>
      <c r="H172">
        <v>6.2</v>
      </c>
      <c r="I172">
        <v>4</v>
      </c>
      <c r="K172" t="s">
        <v>23</v>
      </c>
      <c r="L172" t="s">
        <v>41</v>
      </c>
      <c r="M172">
        <v>0</v>
      </c>
      <c r="N172" t="s">
        <v>35</v>
      </c>
      <c r="O172">
        <v>69.2</v>
      </c>
    </row>
    <row r="173" spans="1:15" x14ac:dyDescent="0.3">
      <c r="A173" t="s">
        <v>615</v>
      </c>
      <c r="B173" t="s">
        <v>16</v>
      </c>
      <c r="C173" t="s">
        <v>150</v>
      </c>
      <c r="D173" t="s">
        <v>18</v>
      </c>
      <c r="E173">
        <v>25</v>
      </c>
      <c r="F173">
        <v>20.8</v>
      </c>
      <c r="G173">
        <v>9.8000000000000007</v>
      </c>
      <c r="H173">
        <v>9.3000000000000007</v>
      </c>
      <c r="I173">
        <v>2</v>
      </c>
      <c r="J173">
        <v>3</v>
      </c>
      <c r="K173" t="s">
        <v>23</v>
      </c>
      <c r="L173" t="s">
        <v>77</v>
      </c>
      <c r="M173">
        <v>1</v>
      </c>
      <c r="N173" t="s">
        <v>35</v>
      </c>
      <c r="O173">
        <v>99.9</v>
      </c>
    </row>
    <row r="174" spans="1:15" x14ac:dyDescent="0.3">
      <c r="A174" t="s">
        <v>618</v>
      </c>
      <c r="B174" t="s">
        <v>28</v>
      </c>
      <c r="C174" t="s">
        <v>55</v>
      </c>
      <c r="D174" t="s">
        <v>18</v>
      </c>
      <c r="E174">
        <v>22</v>
      </c>
      <c r="F174">
        <v>4.5</v>
      </c>
      <c r="G174">
        <v>11</v>
      </c>
      <c r="H174">
        <v>6.6</v>
      </c>
      <c r="I174">
        <v>2</v>
      </c>
      <c r="J174">
        <v>3</v>
      </c>
      <c r="K174" t="s">
        <v>23</v>
      </c>
      <c r="L174" t="s">
        <v>24</v>
      </c>
      <c r="M174">
        <v>0</v>
      </c>
      <c r="O174">
        <v>67.400000000000006</v>
      </c>
    </row>
    <row r="175" spans="1:15" x14ac:dyDescent="0.3">
      <c r="A175" t="s">
        <v>621</v>
      </c>
      <c r="B175" t="s">
        <v>86</v>
      </c>
      <c r="C175" t="s">
        <v>17</v>
      </c>
      <c r="D175" t="s">
        <v>18</v>
      </c>
      <c r="E175">
        <v>28</v>
      </c>
      <c r="F175">
        <v>14.4</v>
      </c>
      <c r="G175">
        <v>29.4</v>
      </c>
      <c r="H175">
        <v>6.4</v>
      </c>
      <c r="I175">
        <v>2</v>
      </c>
      <c r="J175">
        <v>3</v>
      </c>
      <c r="K175" t="s">
        <v>23</v>
      </c>
      <c r="L175" t="s">
        <v>34</v>
      </c>
      <c r="M175">
        <v>1</v>
      </c>
      <c r="N175" t="s">
        <v>83</v>
      </c>
      <c r="O175">
        <v>83.9</v>
      </c>
    </row>
    <row r="176" spans="1:15" x14ac:dyDescent="0.3">
      <c r="A176" t="s">
        <v>624</v>
      </c>
      <c r="B176" t="s">
        <v>16</v>
      </c>
      <c r="C176" t="s">
        <v>55</v>
      </c>
      <c r="D176" t="s">
        <v>18</v>
      </c>
      <c r="E176">
        <v>26</v>
      </c>
      <c r="F176">
        <v>11.6</v>
      </c>
      <c r="G176">
        <v>67.7</v>
      </c>
      <c r="H176">
        <v>6.2</v>
      </c>
      <c r="I176">
        <v>4</v>
      </c>
      <c r="J176">
        <v>5</v>
      </c>
      <c r="K176" t="s">
        <v>23</v>
      </c>
      <c r="L176" t="s">
        <v>34</v>
      </c>
      <c r="M176">
        <v>1</v>
      </c>
      <c r="N176" t="s">
        <v>25</v>
      </c>
      <c r="O176">
        <v>80</v>
      </c>
    </row>
    <row r="177" spans="1:15" x14ac:dyDescent="0.3">
      <c r="A177" t="s">
        <v>627</v>
      </c>
      <c r="B177" t="s">
        <v>28</v>
      </c>
      <c r="C177" t="s">
        <v>210</v>
      </c>
      <c r="D177" t="s">
        <v>29</v>
      </c>
      <c r="E177">
        <v>23</v>
      </c>
      <c r="F177">
        <v>15.6</v>
      </c>
      <c r="G177">
        <v>8.4</v>
      </c>
      <c r="H177">
        <v>7.3</v>
      </c>
      <c r="I177">
        <v>1</v>
      </c>
      <c r="J177">
        <v>5</v>
      </c>
      <c r="K177" t="s">
        <v>23</v>
      </c>
      <c r="L177" t="s">
        <v>24</v>
      </c>
      <c r="M177">
        <v>1</v>
      </c>
      <c r="N177" t="s">
        <v>35</v>
      </c>
      <c r="O177">
        <v>83.2</v>
      </c>
    </row>
    <row r="178" spans="1:15" x14ac:dyDescent="0.3">
      <c r="A178" t="s">
        <v>629</v>
      </c>
      <c r="B178" t="s">
        <v>16</v>
      </c>
      <c r="C178" t="s">
        <v>55</v>
      </c>
      <c r="D178" t="s">
        <v>18</v>
      </c>
      <c r="E178">
        <v>22</v>
      </c>
      <c r="F178">
        <v>16.5</v>
      </c>
      <c r="G178">
        <v>43.3</v>
      </c>
      <c r="H178">
        <v>7.6</v>
      </c>
      <c r="I178">
        <v>2</v>
      </c>
      <c r="J178">
        <v>3</v>
      </c>
      <c r="K178" t="s">
        <v>23</v>
      </c>
      <c r="L178" t="s">
        <v>24</v>
      </c>
      <c r="M178">
        <v>1</v>
      </c>
      <c r="N178" t="s">
        <v>25</v>
      </c>
      <c r="O178">
        <v>79.3</v>
      </c>
    </row>
    <row r="179" spans="1:15" x14ac:dyDescent="0.3">
      <c r="A179" t="s">
        <v>631</v>
      </c>
      <c r="B179" t="s">
        <v>28</v>
      </c>
      <c r="C179" t="s">
        <v>150</v>
      </c>
      <c r="D179" t="s">
        <v>29</v>
      </c>
      <c r="E179">
        <v>24</v>
      </c>
      <c r="F179">
        <v>19.7</v>
      </c>
      <c r="G179">
        <v>37.6</v>
      </c>
      <c r="H179">
        <v>6.4</v>
      </c>
      <c r="I179">
        <v>0</v>
      </c>
      <c r="J179">
        <v>4</v>
      </c>
      <c r="K179" t="s">
        <v>23</v>
      </c>
      <c r="L179" t="s">
        <v>24</v>
      </c>
      <c r="M179">
        <v>0</v>
      </c>
      <c r="N179" t="s">
        <v>83</v>
      </c>
      <c r="O179">
        <v>85.9</v>
      </c>
    </row>
    <row r="180" spans="1:15" x14ac:dyDescent="0.3">
      <c r="A180" t="s">
        <v>633</v>
      </c>
      <c r="B180" t="s">
        <v>16</v>
      </c>
      <c r="C180" t="s">
        <v>17</v>
      </c>
      <c r="D180" t="s">
        <v>29</v>
      </c>
      <c r="E180">
        <v>22</v>
      </c>
      <c r="F180">
        <v>23.2</v>
      </c>
      <c r="G180">
        <v>33</v>
      </c>
      <c r="H180">
        <v>9.5</v>
      </c>
      <c r="I180">
        <v>3</v>
      </c>
      <c r="J180">
        <v>3</v>
      </c>
      <c r="K180" t="s">
        <v>23</v>
      </c>
      <c r="L180" t="s">
        <v>41</v>
      </c>
      <c r="M180">
        <v>0</v>
      </c>
      <c r="O180">
        <v>100</v>
      </c>
    </row>
    <row r="181" spans="1:15" x14ac:dyDescent="0.3">
      <c r="A181" t="s">
        <v>636</v>
      </c>
      <c r="B181" t="s">
        <v>28</v>
      </c>
      <c r="C181" t="s">
        <v>17</v>
      </c>
      <c r="D181" t="s">
        <v>18</v>
      </c>
      <c r="E181">
        <v>22</v>
      </c>
      <c r="F181">
        <v>15.7</v>
      </c>
      <c r="G181">
        <v>11.1</v>
      </c>
      <c r="I181">
        <v>6</v>
      </c>
      <c r="J181">
        <v>5</v>
      </c>
      <c r="K181" t="s">
        <v>23</v>
      </c>
      <c r="L181" t="s">
        <v>41</v>
      </c>
      <c r="M181">
        <v>1</v>
      </c>
      <c r="N181" t="s">
        <v>83</v>
      </c>
      <c r="O181">
        <v>78.099999999999994</v>
      </c>
    </row>
    <row r="182" spans="1:15" x14ac:dyDescent="0.3">
      <c r="A182" t="s">
        <v>637</v>
      </c>
      <c r="B182" t="s">
        <v>86</v>
      </c>
      <c r="C182" t="s">
        <v>55</v>
      </c>
      <c r="D182" t="s">
        <v>18</v>
      </c>
      <c r="E182">
        <v>20</v>
      </c>
      <c r="F182">
        <v>6.7</v>
      </c>
      <c r="G182">
        <v>44.8</v>
      </c>
      <c r="H182">
        <v>6.3</v>
      </c>
      <c r="I182">
        <v>1</v>
      </c>
      <c r="J182">
        <v>3</v>
      </c>
      <c r="K182" t="s">
        <v>23</v>
      </c>
      <c r="L182" t="s">
        <v>34</v>
      </c>
      <c r="M182">
        <v>2</v>
      </c>
      <c r="N182" t="s">
        <v>35</v>
      </c>
      <c r="O182">
        <v>67.2</v>
      </c>
    </row>
    <row r="183" spans="1:15" x14ac:dyDescent="0.3">
      <c r="A183" t="s">
        <v>641</v>
      </c>
      <c r="B183" t="s">
        <v>28</v>
      </c>
      <c r="C183" t="s">
        <v>43</v>
      </c>
      <c r="D183" t="s">
        <v>18</v>
      </c>
      <c r="E183">
        <v>22</v>
      </c>
      <c r="F183">
        <v>5.2</v>
      </c>
      <c r="G183">
        <v>6.2</v>
      </c>
      <c r="H183">
        <v>7.6</v>
      </c>
      <c r="I183">
        <v>3</v>
      </c>
      <c r="K183" t="s">
        <v>51</v>
      </c>
      <c r="L183" t="s">
        <v>60</v>
      </c>
      <c r="M183">
        <v>0</v>
      </c>
      <c r="N183" t="s">
        <v>83</v>
      </c>
      <c r="O183">
        <v>54.9</v>
      </c>
    </row>
    <row r="184" spans="1:15" x14ac:dyDescent="0.3">
      <c r="A184" t="s">
        <v>646</v>
      </c>
      <c r="B184" t="s">
        <v>48</v>
      </c>
      <c r="C184" t="s">
        <v>17</v>
      </c>
      <c r="D184" t="s">
        <v>29</v>
      </c>
      <c r="E184">
        <v>28</v>
      </c>
      <c r="F184">
        <v>3.1</v>
      </c>
      <c r="G184">
        <v>19.7</v>
      </c>
      <c r="H184">
        <v>5</v>
      </c>
      <c r="I184">
        <v>3</v>
      </c>
      <c r="K184" t="s">
        <v>23</v>
      </c>
      <c r="L184" t="s">
        <v>41</v>
      </c>
      <c r="M184">
        <v>1</v>
      </c>
      <c r="N184" t="s">
        <v>25</v>
      </c>
      <c r="O184">
        <v>77.400000000000006</v>
      </c>
    </row>
    <row r="185" spans="1:15" x14ac:dyDescent="0.3">
      <c r="A185" t="s">
        <v>649</v>
      </c>
      <c r="B185" t="s">
        <v>86</v>
      </c>
      <c r="C185" t="s">
        <v>17</v>
      </c>
      <c r="D185" t="s">
        <v>18</v>
      </c>
      <c r="E185">
        <v>22</v>
      </c>
      <c r="F185">
        <v>21</v>
      </c>
      <c r="G185">
        <v>21.1</v>
      </c>
      <c r="H185">
        <v>6.1</v>
      </c>
      <c r="I185">
        <v>6</v>
      </c>
      <c r="J185">
        <v>4</v>
      </c>
      <c r="K185" t="s">
        <v>23</v>
      </c>
      <c r="L185" t="s">
        <v>34</v>
      </c>
      <c r="M185">
        <v>1</v>
      </c>
      <c r="N185" t="s">
        <v>25</v>
      </c>
      <c r="O185">
        <v>88.2</v>
      </c>
    </row>
    <row r="186" spans="1:15" x14ac:dyDescent="0.3">
      <c r="A186" t="s">
        <v>650</v>
      </c>
      <c r="B186" t="s">
        <v>16</v>
      </c>
      <c r="C186" t="s">
        <v>210</v>
      </c>
      <c r="D186" t="s">
        <v>18</v>
      </c>
      <c r="E186">
        <v>24</v>
      </c>
      <c r="F186">
        <v>18.399999999999999</v>
      </c>
      <c r="G186">
        <v>70.599999999999994</v>
      </c>
      <c r="I186">
        <v>1</v>
      </c>
      <c r="J186">
        <v>2</v>
      </c>
      <c r="K186" t="s">
        <v>51</v>
      </c>
      <c r="L186" t="s">
        <v>24</v>
      </c>
      <c r="M186">
        <v>0</v>
      </c>
      <c r="N186" t="s">
        <v>25</v>
      </c>
      <c r="O186">
        <v>81.400000000000006</v>
      </c>
    </row>
    <row r="187" spans="1:15" x14ac:dyDescent="0.3">
      <c r="A187" t="s">
        <v>654</v>
      </c>
      <c r="B187" t="s">
        <v>16</v>
      </c>
      <c r="C187" t="s">
        <v>55</v>
      </c>
      <c r="D187" t="s">
        <v>29</v>
      </c>
      <c r="E187">
        <v>21</v>
      </c>
      <c r="F187">
        <v>12.5</v>
      </c>
      <c r="G187">
        <v>37.200000000000003</v>
      </c>
      <c r="H187">
        <v>4.2</v>
      </c>
      <c r="I187">
        <v>7</v>
      </c>
      <c r="J187">
        <v>5</v>
      </c>
      <c r="K187" t="s">
        <v>23</v>
      </c>
      <c r="L187" t="s">
        <v>41</v>
      </c>
      <c r="M187">
        <v>0</v>
      </c>
      <c r="N187" t="s">
        <v>35</v>
      </c>
      <c r="O187">
        <v>71.7</v>
      </c>
    </row>
    <row r="188" spans="1:15" x14ac:dyDescent="0.3">
      <c r="A188" t="s">
        <v>655</v>
      </c>
      <c r="B188" t="s">
        <v>86</v>
      </c>
      <c r="C188" t="s">
        <v>17</v>
      </c>
      <c r="D188" t="s">
        <v>29</v>
      </c>
      <c r="E188">
        <v>23</v>
      </c>
      <c r="G188">
        <v>60.3</v>
      </c>
      <c r="H188">
        <v>6.9</v>
      </c>
      <c r="I188">
        <v>2</v>
      </c>
      <c r="J188">
        <v>5</v>
      </c>
      <c r="K188" t="s">
        <v>23</v>
      </c>
      <c r="L188" t="s">
        <v>24</v>
      </c>
      <c r="M188">
        <v>0</v>
      </c>
      <c r="N188" t="s">
        <v>83</v>
      </c>
    </row>
    <row r="189" spans="1:15" x14ac:dyDescent="0.3">
      <c r="A189" t="s">
        <v>657</v>
      </c>
      <c r="B189" t="s">
        <v>16</v>
      </c>
      <c r="C189" t="s">
        <v>43</v>
      </c>
      <c r="D189" t="s">
        <v>29</v>
      </c>
      <c r="E189">
        <v>23</v>
      </c>
      <c r="F189">
        <v>19.7</v>
      </c>
      <c r="G189">
        <v>105.8</v>
      </c>
      <c r="H189">
        <v>7</v>
      </c>
      <c r="I189">
        <v>2</v>
      </c>
      <c r="J189">
        <v>3</v>
      </c>
      <c r="K189" t="s">
        <v>23</v>
      </c>
      <c r="L189" t="s">
        <v>60</v>
      </c>
      <c r="M189">
        <v>0</v>
      </c>
      <c r="O189">
        <v>78.5</v>
      </c>
    </row>
    <row r="190" spans="1:15" x14ac:dyDescent="0.3">
      <c r="A190" t="s">
        <v>659</v>
      </c>
      <c r="B190" t="s">
        <v>16</v>
      </c>
      <c r="C190" t="s">
        <v>17</v>
      </c>
      <c r="D190" t="s">
        <v>18</v>
      </c>
      <c r="E190">
        <v>23</v>
      </c>
      <c r="G190">
        <v>46.4</v>
      </c>
      <c r="H190">
        <v>8</v>
      </c>
      <c r="I190">
        <v>5</v>
      </c>
      <c r="J190">
        <v>3</v>
      </c>
      <c r="K190" t="s">
        <v>23</v>
      </c>
      <c r="L190" t="s">
        <v>41</v>
      </c>
      <c r="M190">
        <v>1</v>
      </c>
      <c r="N190" t="s">
        <v>25</v>
      </c>
      <c r="O190">
        <v>85</v>
      </c>
    </row>
    <row r="191" spans="1:15" x14ac:dyDescent="0.3">
      <c r="A191" t="s">
        <v>663</v>
      </c>
      <c r="B191" t="s">
        <v>28</v>
      </c>
      <c r="C191" t="s">
        <v>17</v>
      </c>
      <c r="D191" t="s">
        <v>18</v>
      </c>
      <c r="E191">
        <v>28</v>
      </c>
      <c r="F191">
        <v>27.4</v>
      </c>
      <c r="H191">
        <v>7.5</v>
      </c>
      <c r="I191">
        <v>3</v>
      </c>
      <c r="J191">
        <v>4</v>
      </c>
      <c r="K191" t="s">
        <v>23</v>
      </c>
      <c r="L191" t="s">
        <v>41</v>
      </c>
      <c r="M191">
        <v>1</v>
      </c>
      <c r="N191" t="s">
        <v>238</v>
      </c>
      <c r="O191">
        <v>100</v>
      </c>
    </row>
    <row r="192" spans="1:15" x14ac:dyDescent="0.3">
      <c r="A192" t="s">
        <v>665</v>
      </c>
      <c r="B192" t="s">
        <v>48</v>
      </c>
      <c r="C192" t="s">
        <v>43</v>
      </c>
      <c r="D192" t="s">
        <v>29</v>
      </c>
      <c r="E192">
        <v>20</v>
      </c>
      <c r="F192">
        <v>21</v>
      </c>
      <c r="G192">
        <v>15</v>
      </c>
      <c r="H192">
        <v>7.3</v>
      </c>
      <c r="I192">
        <v>6</v>
      </c>
      <c r="J192">
        <v>3</v>
      </c>
      <c r="K192" t="s">
        <v>23</v>
      </c>
      <c r="L192" t="s">
        <v>60</v>
      </c>
      <c r="M192">
        <v>2</v>
      </c>
      <c r="N192" t="s">
        <v>829</v>
      </c>
      <c r="O192">
        <v>77</v>
      </c>
    </row>
    <row r="193" spans="1:15" x14ac:dyDescent="0.3">
      <c r="A193" t="s">
        <v>666</v>
      </c>
      <c r="B193" t="s">
        <v>86</v>
      </c>
      <c r="C193" t="s">
        <v>150</v>
      </c>
      <c r="D193" t="s">
        <v>29</v>
      </c>
      <c r="E193">
        <v>20</v>
      </c>
      <c r="F193">
        <v>15.7</v>
      </c>
      <c r="G193">
        <v>10.9</v>
      </c>
      <c r="H193">
        <v>7</v>
      </c>
      <c r="I193">
        <v>5</v>
      </c>
      <c r="J193">
        <v>4</v>
      </c>
      <c r="K193" t="s">
        <v>23</v>
      </c>
      <c r="L193" t="s">
        <v>24</v>
      </c>
      <c r="M193">
        <v>0</v>
      </c>
      <c r="N193" t="s">
        <v>35</v>
      </c>
      <c r="O193">
        <v>79.7</v>
      </c>
    </row>
    <row r="194" spans="1:15" x14ac:dyDescent="0.3">
      <c r="A194" t="s">
        <v>668</v>
      </c>
      <c r="B194" t="s">
        <v>86</v>
      </c>
      <c r="C194" t="s">
        <v>17</v>
      </c>
      <c r="D194" t="s">
        <v>29</v>
      </c>
      <c r="E194">
        <v>23</v>
      </c>
      <c r="G194">
        <v>9.4</v>
      </c>
      <c r="H194">
        <v>5.9</v>
      </c>
      <c r="I194">
        <v>0</v>
      </c>
      <c r="J194">
        <v>4</v>
      </c>
      <c r="K194" t="s">
        <v>23</v>
      </c>
      <c r="L194" t="s">
        <v>34</v>
      </c>
      <c r="M194">
        <v>0</v>
      </c>
      <c r="N194" t="s">
        <v>35</v>
      </c>
      <c r="O194">
        <v>78.599999999999994</v>
      </c>
    </row>
    <row r="195" spans="1:15" x14ac:dyDescent="0.3">
      <c r="A195" t="s">
        <v>670</v>
      </c>
      <c r="B195" t="s">
        <v>16</v>
      </c>
      <c r="C195" t="s">
        <v>150</v>
      </c>
      <c r="D195" t="s">
        <v>18</v>
      </c>
      <c r="E195">
        <v>26</v>
      </c>
      <c r="F195">
        <v>14.2</v>
      </c>
      <c r="G195">
        <v>121.4</v>
      </c>
      <c r="H195">
        <v>5.0999999999999996</v>
      </c>
      <c r="I195">
        <v>4</v>
      </c>
      <c r="J195">
        <v>2</v>
      </c>
      <c r="K195" t="s">
        <v>51</v>
      </c>
      <c r="L195" t="s">
        <v>24</v>
      </c>
      <c r="M195">
        <v>1</v>
      </c>
      <c r="N195" t="s">
        <v>25</v>
      </c>
      <c r="O195">
        <v>68.5</v>
      </c>
    </row>
    <row r="196" spans="1:15" x14ac:dyDescent="0.3">
      <c r="A196" t="s">
        <v>674</v>
      </c>
      <c r="B196" t="s">
        <v>48</v>
      </c>
      <c r="C196" t="s">
        <v>17</v>
      </c>
      <c r="D196" t="s">
        <v>18</v>
      </c>
      <c r="E196">
        <v>23</v>
      </c>
      <c r="F196">
        <v>22.8</v>
      </c>
      <c r="G196">
        <v>16.100000000000001</v>
      </c>
      <c r="H196">
        <v>7.5</v>
      </c>
      <c r="I196">
        <v>0</v>
      </c>
      <c r="J196">
        <v>3</v>
      </c>
      <c r="K196" t="s">
        <v>51</v>
      </c>
      <c r="L196" t="s">
        <v>41</v>
      </c>
      <c r="M196">
        <v>2</v>
      </c>
      <c r="N196" t="s">
        <v>25</v>
      </c>
      <c r="O196">
        <v>84.1</v>
      </c>
    </row>
    <row r="197" spans="1:15" x14ac:dyDescent="0.3">
      <c r="A197" t="s">
        <v>676</v>
      </c>
      <c r="B197" t="s">
        <v>80</v>
      </c>
      <c r="C197" t="s">
        <v>210</v>
      </c>
      <c r="D197" t="s">
        <v>18</v>
      </c>
      <c r="F197">
        <v>20.2</v>
      </c>
      <c r="G197">
        <v>104.5</v>
      </c>
      <c r="H197">
        <v>7.1</v>
      </c>
      <c r="I197">
        <v>4</v>
      </c>
      <c r="J197">
        <v>3</v>
      </c>
      <c r="K197" t="s">
        <v>23</v>
      </c>
      <c r="L197" t="s">
        <v>60</v>
      </c>
      <c r="M197">
        <v>3</v>
      </c>
      <c r="N197" t="s">
        <v>35</v>
      </c>
      <c r="O197">
        <v>81.099999999999994</v>
      </c>
    </row>
    <row r="198" spans="1:15" x14ac:dyDescent="0.3">
      <c r="A198" t="s">
        <v>678</v>
      </c>
      <c r="B198" t="s">
        <v>16</v>
      </c>
      <c r="C198" t="s">
        <v>43</v>
      </c>
      <c r="D198" t="s">
        <v>29</v>
      </c>
      <c r="E198">
        <v>24</v>
      </c>
      <c r="F198">
        <v>11</v>
      </c>
      <c r="G198">
        <v>17.5</v>
      </c>
      <c r="H198">
        <v>5.8</v>
      </c>
      <c r="I198">
        <v>3</v>
      </c>
      <c r="J198">
        <v>2</v>
      </c>
      <c r="K198" t="s">
        <v>23</v>
      </c>
      <c r="L198" t="s">
        <v>41</v>
      </c>
      <c r="M198">
        <v>0</v>
      </c>
      <c r="N198" t="s">
        <v>238</v>
      </c>
      <c r="O198">
        <v>87</v>
      </c>
    </row>
    <row r="199" spans="1:15" x14ac:dyDescent="0.3">
      <c r="A199" t="s">
        <v>681</v>
      </c>
      <c r="B199" t="s">
        <v>48</v>
      </c>
      <c r="C199" t="s">
        <v>210</v>
      </c>
      <c r="D199" t="s">
        <v>29</v>
      </c>
      <c r="E199">
        <v>21</v>
      </c>
      <c r="F199">
        <v>11.5</v>
      </c>
      <c r="G199">
        <v>33</v>
      </c>
      <c r="H199">
        <v>5.9</v>
      </c>
      <c r="I199">
        <v>6</v>
      </c>
      <c r="J199">
        <v>4</v>
      </c>
      <c r="K199" t="s">
        <v>23</v>
      </c>
      <c r="L199" t="s">
        <v>24</v>
      </c>
      <c r="M199">
        <v>0</v>
      </c>
      <c r="N199" t="s">
        <v>35</v>
      </c>
      <c r="O199">
        <v>64</v>
      </c>
    </row>
    <row r="200" spans="1:15" x14ac:dyDescent="0.3">
      <c r="A200" t="s">
        <v>684</v>
      </c>
      <c r="B200" t="s">
        <v>80</v>
      </c>
      <c r="C200" t="s">
        <v>17</v>
      </c>
      <c r="D200" t="s">
        <v>18</v>
      </c>
      <c r="E200">
        <v>25</v>
      </c>
      <c r="F200">
        <v>27.4</v>
      </c>
      <c r="G200">
        <v>66.400000000000006</v>
      </c>
      <c r="H200">
        <v>7.1</v>
      </c>
      <c r="I200">
        <v>4</v>
      </c>
      <c r="J200">
        <v>4</v>
      </c>
      <c r="K200" t="s">
        <v>23</v>
      </c>
      <c r="L200" t="s">
        <v>77</v>
      </c>
      <c r="M200">
        <v>0</v>
      </c>
      <c r="O200">
        <v>99.8</v>
      </c>
    </row>
    <row r="201" spans="1:15" x14ac:dyDescent="0.3">
      <c r="A201" t="s">
        <v>687</v>
      </c>
      <c r="B201" t="s">
        <v>80</v>
      </c>
      <c r="C201" t="s">
        <v>17</v>
      </c>
      <c r="D201" t="s">
        <v>18</v>
      </c>
      <c r="E201">
        <v>24</v>
      </c>
      <c r="F201">
        <v>16.100000000000001</v>
      </c>
      <c r="G201">
        <v>57.8</v>
      </c>
      <c r="H201">
        <v>5.4</v>
      </c>
      <c r="I201">
        <v>0</v>
      </c>
      <c r="J201">
        <v>3</v>
      </c>
      <c r="K201" t="s">
        <v>51</v>
      </c>
      <c r="L201" t="s">
        <v>60</v>
      </c>
      <c r="M201">
        <v>1</v>
      </c>
      <c r="N201" t="s">
        <v>35</v>
      </c>
      <c r="O201">
        <v>72.2</v>
      </c>
    </row>
    <row r="202" spans="1:15" x14ac:dyDescent="0.3">
      <c r="A202" t="s">
        <v>690</v>
      </c>
      <c r="B202" t="s">
        <v>86</v>
      </c>
      <c r="C202" t="s">
        <v>17</v>
      </c>
      <c r="D202" t="s">
        <v>29</v>
      </c>
      <c r="E202">
        <v>23</v>
      </c>
      <c r="F202">
        <v>7</v>
      </c>
      <c r="G202">
        <v>12.1</v>
      </c>
      <c r="H202">
        <v>4.5</v>
      </c>
      <c r="I202">
        <v>4</v>
      </c>
      <c r="J202">
        <v>2</v>
      </c>
      <c r="K202" t="s">
        <v>23</v>
      </c>
      <c r="L202" t="s">
        <v>60</v>
      </c>
      <c r="M202">
        <v>0</v>
      </c>
      <c r="N202" t="s">
        <v>83</v>
      </c>
      <c r="O202">
        <v>69.599999999999994</v>
      </c>
    </row>
    <row r="203" spans="1:15" x14ac:dyDescent="0.3">
      <c r="A203" t="s">
        <v>692</v>
      </c>
      <c r="B203" t="s">
        <v>86</v>
      </c>
      <c r="C203" t="s">
        <v>210</v>
      </c>
      <c r="D203" t="s">
        <v>18</v>
      </c>
      <c r="E203">
        <v>24</v>
      </c>
      <c r="F203">
        <v>11.6</v>
      </c>
      <c r="G203">
        <v>46</v>
      </c>
      <c r="H203">
        <v>6.5</v>
      </c>
      <c r="I203">
        <v>2</v>
      </c>
      <c r="J203">
        <v>4</v>
      </c>
      <c r="K203" t="s">
        <v>23</v>
      </c>
      <c r="L203" t="s">
        <v>24</v>
      </c>
      <c r="M203">
        <v>0</v>
      </c>
      <c r="N203" t="s">
        <v>829</v>
      </c>
      <c r="O203">
        <v>76.900000000000006</v>
      </c>
    </row>
    <row r="204" spans="1:15" x14ac:dyDescent="0.3">
      <c r="A204" t="s">
        <v>695</v>
      </c>
      <c r="B204" t="s">
        <v>80</v>
      </c>
      <c r="C204" t="s">
        <v>55</v>
      </c>
      <c r="D204" t="s">
        <v>18</v>
      </c>
      <c r="E204">
        <v>24</v>
      </c>
      <c r="F204">
        <v>17</v>
      </c>
      <c r="G204">
        <v>238.9</v>
      </c>
      <c r="H204">
        <v>5.5</v>
      </c>
      <c r="I204">
        <v>3</v>
      </c>
      <c r="J204">
        <v>4</v>
      </c>
      <c r="K204" t="s">
        <v>23</v>
      </c>
      <c r="L204" t="s">
        <v>41</v>
      </c>
      <c r="M204">
        <v>3</v>
      </c>
      <c r="N204" t="s">
        <v>35</v>
      </c>
      <c r="O204">
        <v>76.099999999999994</v>
      </c>
    </row>
    <row r="205" spans="1:15" x14ac:dyDescent="0.3">
      <c r="A205" t="s">
        <v>698</v>
      </c>
      <c r="B205" t="s">
        <v>86</v>
      </c>
      <c r="C205" t="s">
        <v>17</v>
      </c>
      <c r="D205" t="s">
        <v>18</v>
      </c>
      <c r="E205">
        <v>23</v>
      </c>
      <c r="F205">
        <v>16.7</v>
      </c>
      <c r="G205">
        <v>31.3</v>
      </c>
      <c r="H205">
        <v>7.1</v>
      </c>
      <c r="I205">
        <v>3</v>
      </c>
      <c r="J205">
        <v>4</v>
      </c>
      <c r="K205" t="s">
        <v>23</v>
      </c>
      <c r="L205" t="s">
        <v>41</v>
      </c>
      <c r="M205">
        <v>0</v>
      </c>
      <c r="N205" t="s">
        <v>61</v>
      </c>
      <c r="O205">
        <v>69.8</v>
      </c>
    </row>
    <row r="206" spans="1:15" x14ac:dyDescent="0.3">
      <c r="A206" t="s">
        <v>701</v>
      </c>
      <c r="B206" t="s">
        <v>86</v>
      </c>
      <c r="C206" t="s">
        <v>210</v>
      </c>
      <c r="D206" t="s">
        <v>18</v>
      </c>
      <c r="E206">
        <v>28</v>
      </c>
      <c r="G206">
        <v>18.8</v>
      </c>
      <c r="H206">
        <v>5.4</v>
      </c>
      <c r="I206">
        <v>2</v>
      </c>
      <c r="J206">
        <v>2</v>
      </c>
      <c r="K206" t="s">
        <v>23</v>
      </c>
      <c r="L206" t="s">
        <v>34</v>
      </c>
      <c r="M206">
        <v>0</v>
      </c>
      <c r="N206" t="s">
        <v>35</v>
      </c>
      <c r="O206">
        <v>88.1</v>
      </c>
    </row>
    <row r="207" spans="1:15" x14ac:dyDescent="0.3">
      <c r="A207" t="s">
        <v>702</v>
      </c>
      <c r="B207" t="s">
        <v>16</v>
      </c>
      <c r="C207" t="s">
        <v>17</v>
      </c>
      <c r="D207" t="s">
        <v>29</v>
      </c>
      <c r="E207">
        <v>21</v>
      </c>
      <c r="F207">
        <v>16.8</v>
      </c>
      <c r="H207">
        <v>7</v>
      </c>
      <c r="I207">
        <v>2</v>
      </c>
      <c r="J207">
        <v>3</v>
      </c>
      <c r="K207" t="s">
        <v>23</v>
      </c>
      <c r="L207" t="s">
        <v>77</v>
      </c>
      <c r="M207">
        <v>1</v>
      </c>
      <c r="N207" t="s">
        <v>829</v>
      </c>
      <c r="O207">
        <v>71.2</v>
      </c>
    </row>
    <row r="208" spans="1:15" x14ac:dyDescent="0.3">
      <c r="A208" t="s">
        <v>704</v>
      </c>
      <c r="B208" t="s">
        <v>48</v>
      </c>
      <c r="C208" t="s">
        <v>210</v>
      </c>
      <c r="D208" t="s">
        <v>18</v>
      </c>
      <c r="E208">
        <v>21</v>
      </c>
      <c r="F208">
        <v>12.8</v>
      </c>
      <c r="G208">
        <v>23.7</v>
      </c>
      <c r="H208">
        <v>6.4</v>
      </c>
      <c r="I208">
        <v>4</v>
      </c>
      <c r="J208">
        <v>5</v>
      </c>
      <c r="K208" t="s">
        <v>23</v>
      </c>
      <c r="L208" t="s">
        <v>41</v>
      </c>
      <c r="M208">
        <v>0</v>
      </c>
      <c r="N208" t="s">
        <v>35</v>
      </c>
      <c r="O208">
        <v>73.7</v>
      </c>
    </row>
    <row r="209" spans="1:15" x14ac:dyDescent="0.3">
      <c r="A209" t="s">
        <v>706</v>
      </c>
      <c r="B209" t="s">
        <v>28</v>
      </c>
      <c r="C209" t="s">
        <v>55</v>
      </c>
      <c r="D209" t="s">
        <v>18</v>
      </c>
      <c r="E209">
        <v>23</v>
      </c>
      <c r="F209">
        <v>12.3</v>
      </c>
      <c r="G209">
        <v>17.399999999999999</v>
      </c>
      <c r="H209">
        <v>5.8</v>
      </c>
      <c r="I209">
        <v>3</v>
      </c>
      <c r="J209">
        <v>3</v>
      </c>
      <c r="K209" t="s">
        <v>23</v>
      </c>
      <c r="L209" t="s">
        <v>60</v>
      </c>
      <c r="M209">
        <v>2</v>
      </c>
      <c r="N209" t="s">
        <v>829</v>
      </c>
      <c r="O209">
        <v>81.7</v>
      </c>
    </row>
    <row r="210" spans="1:15" x14ac:dyDescent="0.3">
      <c r="A210" t="s">
        <v>708</v>
      </c>
      <c r="B210" t="s">
        <v>80</v>
      </c>
      <c r="C210" t="s">
        <v>17</v>
      </c>
      <c r="D210" t="s">
        <v>29</v>
      </c>
      <c r="E210">
        <v>24</v>
      </c>
      <c r="F210">
        <v>17.8</v>
      </c>
      <c r="G210">
        <v>25.1</v>
      </c>
      <c r="H210">
        <v>6.9</v>
      </c>
      <c r="I210">
        <v>2</v>
      </c>
      <c r="J210">
        <v>4</v>
      </c>
      <c r="K210" t="s">
        <v>51</v>
      </c>
      <c r="L210" t="s">
        <v>34</v>
      </c>
      <c r="M210">
        <v>0</v>
      </c>
      <c r="N210" t="s">
        <v>61</v>
      </c>
      <c r="O210">
        <v>83.1</v>
      </c>
    </row>
    <row r="211" spans="1:15" x14ac:dyDescent="0.3">
      <c r="A211" t="s">
        <v>710</v>
      </c>
      <c r="B211" t="s">
        <v>86</v>
      </c>
      <c r="C211" t="s">
        <v>17</v>
      </c>
      <c r="D211" t="s">
        <v>29</v>
      </c>
      <c r="E211">
        <v>23</v>
      </c>
      <c r="F211">
        <v>17.8</v>
      </c>
      <c r="G211">
        <v>28.4</v>
      </c>
      <c r="H211">
        <v>7.5</v>
      </c>
      <c r="I211">
        <v>2</v>
      </c>
      <c r="J211">
        <v>3</v>
      </c>
      <c r="K211" t="s">
        <v>23</v>
      </c>
      <c r="L211" t="s">
        <v>24</v>
      </c>
      <c r="M211">
        <v>0</v>
      </c>
      <c r="O211">
        <v>75.400000000000006</v>
      </c>
    </row>
    <row r="212" spans="1:15" x14ac:dyDescent="0.3">
      <c r="A212" t="s">
        <v>712</v>
      </c>
      <c r="B212" t="s">
        <v>80</v>
      </c>
      <c r="C212" t="s">
        <v>150</v>
      </c>
      <c r="D212" t="s">
        <v>18</v>
      </c>
      <c r="F212">
        <v>16.7</v>
      </c>
      <c r="G212">
        <v>14.7</v>
      </c>
      <c r="H212">
        <v>5.4</v>
      </c>
      <c r="I212">
        <v>6</v>
      </c>
      <c r="J212">
        <v>5</v>
      </c>
      <c r="K212" t="s">
        <v>23</v>
      </c>
      <c r="L212" t="s">
        <v>34</v>
      </c>
      <c r="M212">
        <v>0</v>
      </c>
      <c r="N212" t="s">
        <v>35</v>
      </c>
      <c r="O212">
        <v>87.5</v>
      </c>
    </row>
    <row r="213" spans="1:15" x14ac:dyDescent="0.3">
      <c r="A213" t="s">
        <v>714</v>
      </c>
      <c r="B213" t="s">
        <v>86</v>
      </c>
      <c r="C213" t="s">
        <v>43</v>
      </c>
      <c r="D213" t="s">
        <v>29</v>
      </c>
      <c r="E213">
        <v>24</v>
      </c>
      <c r="F213">
        <v>11.7</v>
      </c>
      <c r="G213">
        <v>32.9</v>
      </c>
      <c r="H213">
        <v>9</v>
      </c>
      <c r="I213">
        <v>4</v>
      </c>
      <c r="J213">
        <v>4</v>
      </c>
      <c r="K213" t="s">
        <v>23</v>
      </c>
      <c r="L213" t="s">
        <v>41</v>
      </c>
      <c r="M213">
        <v>1</v>
      </c>
      <c r="N213" t="s">
        <v>61</v>
      </c>
      <c r="O213">
        <v>69.3</v>
      </c>
    </row>
    <row r="214" spans="1:15" x14ac:dyDescent="0.3">
      <c r="A214" t="s">
        <v>718</v>
      </c>
      <c r="B214" t="s">
        <v>86</v>
      </c>
      <c r="C214" t="s">
        <v>55</v>
      </c>
      <c r="D214" t="s">
        <v>18</v>
      </c>
      <c r="E214">
        <v>20</v>
      </c>
      <c r="F214">
        <v>17.100000000000001</v>
      </c>
      <c r="G214">
        <v>17.600000000000001</v>
      </c>
      <c r="H214">
        <v>8.9</v>
      </c>
      <c r="I214">
        <v>5</v>
      </c>
      <c r="J214">
        <v>2</v>
      </c>
      <c r="K214" t="s">
        <v>23</v>
      </c>
      <c r="L214" t="s">
        <v>41</v>
      </c>
      <c r="M214">
        <v>2</v>
      </c>
      <c r="O214">
        <v>94.9</v>
      </c>
    </row>
    <row r="215" spans="1:15" x14ac:dyDescent="0.3">
      <c r="A215" t="s">
        <v>720</v>
      </c>
      <c r="B215" t="s">
        <v>86</v>
      </c>
      <c r="C215" t="s">
        <v>43</v>
      </c>
      <c r="D215" t="s">
        <v>18</v>
      </c>
      <c r="E215">
        <v>27</v>
      </c>
      <c r="F215">
        <v>15.2</v>
      </c>
      <c r="G215">
        <v>13.1</v>
      </c>
      <c r="I215">
        <v>5</v>
      </c>
      <c r="J215">
        <v>5</v>
      </c>
      <c r="K215" t="s">
        <v>23</v>
      </c>
      <c r="L215" t="s">
        <v>34</v>
      </c>
      <c r="M215">
        <v>2</v>
      </c>
      <c r="N215" t="s">
        <v>83</v>
      </c>
      <c r="O215">
        <v>86.3</v>
      </c>
    </row>
    <row r="216" spans="1:15" x14ac:dyDescent="0.3">
      <c r="A216" t="s">
        <v>721</v>
      </c>
      <c r="B216" t="s">
        <v>16</v>
      </c>
      <c r="C216" t="s">
        <v>150</v>
      </c>
      <c r="D216" t="s">
        <v>18</v>
      </c>
      <c r="E216">
        <v>26</v>
      </c>
      <c r="F216">
        <v>23.3</v>
      </c>
      <c r="G216">
        <v>191.9</v>
      </c>
      <c r="H216">
        <v>6.1</v>
      </c>
      <c r="I216">
        <v>7</v>
      </c>
      <c r="J216">
        <v>4</v>
      </c>
      <c r="K216" t="s">
        <v>23</v>
      </c>
      <c r="L216" t="s">
        <v>60</v>
      </c>
      <c r="M216">
        <v>2</v>
      </c>
      <c r="N216" t="s">
        <v>35</v>
      </c>
      <c r="O216">
        <v>74.3</v>
      </c>
    </row>
    <row r="217" spans="1:15" x14ac:dyDescent="0.3">
      <c r="A217" t="s">
        <v>723</v>
      </c>
      <c r="B217" t="s">
        <v>16</v>
      </c>
      <c r="C217" t="s">
        <v>43</v>
      </c>
      <c r="D217" t="s">
        <v>29</v>
      </c>
      <c r="E217">
        <v>25</v>
      </c>
      <c r="F217">
        <v>16.399999999999999</v>
      </c>
      <c r="G217">
        <v>39.200000000000003</v>
      </c>
      <c r="H217">
        <v>6.7</v>
      </c>
      <c r="I217">
        <v>3</v>
      </c>
      <c r="J217">
        <v>2</v>
      </c>
      <c r="K217" t="s">
        <v>23</v>
      </c>
      <c r="L217" t="s">
        <v>77</v>
      </c>
      <c r="M217">
        <v>2</v>
      </c>
      <c r="N217" t="s">
        <v>61</v>
      </c>
      <c r="O217">
        <v>86.1</v>
      </c>
    </row>
    <row r="218" spans="1:15" x14ac:dyDescent="0.3">
      <c r="A218" t="s">
        <v>727</v>
      </c>
      <c r="B218" t="s">
        <v>28</v>
      </c>
      <c r="C218" t="s">
        <v>43</v>
      </c>
      <c r="D218" t="s">
        <v>29</v>
      </c>
      <c r="E218">
        <v>24</v>
      </c>
      <c r="F218">
        <v>21.6</v>
      </c>
      <c r="G218">
        <v>21.3</v>
      </c>
      <c r="H218">
        <v>7.5</v>
      </c>
      <c r="I218">
        <v>4</v>
      </c>
      <c r="J218">
        <v>3</v>
      </c>
      <c r="K218" t="s">
        <v>23</v>
      </c>
      <c r="L218" t="s">
        <v>60</v>
      </c>
      <c r="M218">
        <v>1</v>
      </c>
      <c r="N218" t="s">
        <v>35</v>
      </c>
      <c r="O218">
        <v>66.900000000000006</v>
      </c>
    </row>
    <row r="219" spans="1:15" x14ac:dyDescent="0.3">
      <c r="A219" t="s">
        <v>730</v>
      </c>
      <c r="B219" t="s">
        <v>28</v>
      </c>
      <c r="C219" t="s">
        <v>17</v>
      </c>
      <c r="D219" t="s">
        <v>18</v>
      </c>
      <c r="E219">
        <v>22</v>
      </c>
      <c r="G219">
        <v>58.4</v>
      </c>
      <c r="H219">
        <v>7.1</v>
      </c>
      <c r="I219">
        <v>4</v>
      </c>
      <c r="J219">
        <v>5</v>
      </c>
      <c r="K219" t="s">
        <v>23</v>
      </c>
      <c r="L219" t="s">
        <v>24</v>
      </c>
      <c r="M219">
        <v>0</v>
      </c>
      <c r="N219" t="s">
        <v>25</v>
      </c>
      <c r="O219">
        <v>75.400000000000006</v>
      </c>
    </row>
    <row r="220" spans="1:15" x14ac:dyDescent="0.3">
      <c r="A220" t="s">
        <v>732</v>
      </c>
      <c r="B220" t="s">
        <v>16</v>
      </c>
      <c r="C220" t="s">
        <v>17</v>
      </c>
      <c r="D220" t="s">
        <v>18</v>
      </c>
      <c r="E220">
        <v>25</v>
      </c>
      <c r="F220">
        <v>13.4</v>
      </c>
      <c r="G220">
        <v>79.3</v>
      </c>
      <c r="H220">
        <v>6.3</v>
      </c>
      <c r="I220">
        <v>3</v>
      </c>
      <c r="J220">
        <v>4</v>
      </c>
      <c r="K220" t="s">
        <v>23</v>
      </c>
      <c r="L220" t="s">
        <v>34</v>
      </c>
      <c r="M220">
        <v>1</v>
      </c>
      <c r="O220">
        <v>77.8</v>
      </c>
    </row>
    <row r="221" spans="1:15" x14ac:dyDescent="0.3">
      <c r="A221" t="s">
        <v>734</v>
      </c>
      <c r="B221" t="s">
        <v>80</v>
      </c>
      <c r="C221" t="s">
        <v>43</v>
      </c>
      <c r="D221" t="s">
        <v>18</v>
      </c>
      <c r="E221">
        <v>24</v>
      </c>
      <c r="F221">
        <v>17.899999999999999</v>
      </c>
      <c r="G221">
        <v>30.2</v>
      </c>
      <c r="H221">
        <v>7.4</v>
      </c>
      <c r="I221">
        <v>3</v>
      </c>
      <c r="J221">
        <v>4</v>
      </c>
      <c r="K221" t="s">
        <v>23</v>
      </c>
      <c r="L221" t="s">
        <v>34</v>
      </c>
      <c r="M221">
        <v>0</v>
      </c>
      <c r="N221" t="s">
        <v>83</v>
      </c>
      <c r="O221">
        <v>78.599999999999994</v>
      </c>
    </row>
    <row r="222" spans="1:15" x14ac:dyDescent="0.3">
      <c r="A222" t="s">
        <v>735</v>
      </c>
      <c r="B222" t="s">
        <v>80</v>
      </c>
      <c r="C222" t="s">
        <v>210</v>
      </c>
      <c r="D222" t="s">
        <v>18</v>
      </c>
      <c r="E222">
        <v>22</v>
      </c>
      <c r="F222">
        <v>14.9</v>
      </c>
      <c r="G222">
        <v>16.399999999999999</v>
      </c>
      <c r="H222">
        <v>7.9</v>
      </c>
      <c r="I222">
        <v>2</v>
      </c>
      <c r="J222">
        <v>2</v>
      </c>
      <c r="K222" t="s">
        <v>23</v>
      </c>
      <c r="L222" t="s">
        <v>34</v>
      </c>
      <c r="M222">
        <v>2</v>
      </c>
      <c r="N222" t="s">
        <v>83</v>
      </c>
      <c r="O222">
        <v>75.8</v>
      </c>
    </row>
    <row r="223" spans="1:15" x14ac:dyDescent="0.3">
      <c r="A223" t="s">
        <v>737</v>
      </c>
      <c r="B223" t="s">
        <v>16</v>
      </c>
      <c r="C223" t="s">
        <v>43</v>
      </c>
      <c r="D223" t="s">
        <v>29</v>
      </c>
      <c r="E223">
        <v>30</v>
      </c>
      <c r="F223">
        <v>20</v>
      </c>
      <c r="G223">
        <v>62.8</v>
      </c>
      <c r="H223">
        <v>5.3</v>
      </c>
      <c r="I223">
        <v>2</v>
      </c>
      <c r="J223">
        <v>3</v>
      </c>
      <c r="K223" t="s">
        <v>51</v>
      </c>
      <c r="L223" t="s">
        <v>34</v>
      </c>
      <c r="M223">
        <v>1</v>
      </c>
      <c r="N223" t="s">
        <v>25</v>
      </c>
      <c r="O223">
        <v>72.599999999999994</v>
      </c>
    </row>
    <row r="224" spans="1:15" x14ac:dyDescent="0.3">
      <c r="A224" t="s">
        <v>740</v>
      </c>
      <c r="B224" t="s">
        <v>16</v>
      </c>
      <c r="C224" t="s">
        <v>43</v>
      </c>
      <c r="D224" t="s">
        <v>18</v>
      </c>
      <c r="E224">
        <v>21</v>
      </c>
      <c r="F224">
        <v>16.100000000000001</v>
      </c>
      <c r="G224">
        <v>46.8</v>
      </c>
      <c r="H224">
        <v>6.2</v>
      </c>
      <c r="I224">
        <v>4</v>
      </c>
      <c r="J224">
        <v>4</v>
      </c>
      <c r="K224" t="s">
        <v>23</v>
      </c>
      <c r="L224" t="s">
        <v>60</v>
      </c>
      <c r="M224">
        <v>2</v>
      </c>
      <c r="N224" t="s">
        <v>35</v>
      </c>
      <c r="O224">
        <v>68.400000000000006</v>
      </c>
    </row>
    <row r="225" spans="1:15" x14ac:dyDescent="0.3">
      <c r="A225" t="s">
        <v>742</v>
      </c>
      <c r="B225" t="s">
        <v>48</v>
      </c>
      <c r="C225" t="s">
        <v>43</v>
      </c>
      <c r="D225" t="s">
        <v>18</v>
      </c>
      <c r="E225">
        <v>24</v>
      </c>
      <c r="F225">
        <v>21.8</v>
      </c>
      <c r="G225">
        <v>105.1</v>
      </c>
      <c r="H225">
        <v>7</v>
      </c>
      <c r="I225">
        <v>4</v>
      </c>
      <c r="J225">
        <v>4</v>
      </c>
      <c r="K225" t="s">
        <v>51</v>
      </c>
      <c r="L225" t="s">
        <v>34</v>
      </c>
      <c r="M225">
        <v>0</v>
      </c>
      <c r="N225" t="s">
        <v>25</v>
      </c>
      <c r="O225">
        <v>87</v>
      </c>
    </row>
    <row r="226" spans="1:15" x14ac:dyDescent="0.3">
      <c r="A226" t="s">
        <v>744</v>
      </c>
      <c r="B226" t="s">
        <v>48</v>
      </c>
      <c r="C226" t="s">
        <v>55</v>
      </c>
      <c r="D226" t="s">
        <v>29</v>
      </c>
      <c r="E226">
        <v>24</v>
      </c>
      <c r="F226">
        <v>8</v>
      </c>
      <c r="G226">
        <v>16.8</v>
      </c>
      <c r="H226">
        <v>6.8</v>
      </c>
      <c r="I226">
        <v>2</v>
      </c>
      <c r="J226">
        <v>4</v>
      </c>
      <c r="K226" t="s">
        <v>23</v>
      </c>
      <c r="L226" t="s">
        <v>77</v>
      </c>
      <c r="M226">
        <v>3</v>
      </c>
      <c r="O226">
        <v>73.3</v>
      </c>
    </row>
    <row r="227" spans="1:15" x14ac:dyDescent="0.3">
      <c r="A227" t="s">
        <v>747</v>
      </c>
      <c r="B227" t="s">
        <v>86</v>
      </c>
      <c r="C227" t="s">
        <v>43</v>
      </c>
      <c r="D227" t="s">
        <v>29</v>
      </c>
      <c r="E227">
        <v>20</v>
      </c>
      <c r="F227">
        <v>16.8</v>
      </c>
      <c r="G227">
        <v>25</v>
      </c>
      <c r="H227">
        <v>6</v>
      </c>
      <c r="I227">
        <v>5</v>
      </c>
      <c r="K227" t="s">
        <v>51</v>
      </c>
      <c r="L227" t="s">
        <v>41</v>
      </c>
      <c r="M227">
        <v>0</v>
      </c>
      <c r="N227" t="s">
        <v>35</v>
      </c>
      <c r="O227">
        <v>77</v>
      </c>
    </row>
    <row r="228" spans="1:15" x14ac:dyDescent="0.3">
      <c r="A228" t="s">
        <v>748</v>
      </c>
      <c r="B228" t="s">
        <v>80</v>
      </c>
      <c r="C228" t="s">
        <v>43</v>
      </c>
      <c r="D228" t="s">
        <v>18</v>
      </c>
      <c r="E228">
        <v>28</v>
      </c>
      <c r="F228">
        <v>8.6999999999999993</v>
      </c>
      <c r="G228">
        <v>63.8</v>
      </c>
      <c r="I228">
        <v>4</v>
      </c>
      <c r="J228">
        <v>3</v>
      </c>
      <c r="K228" t="s">
        <v>51</v>
      </c>
      <c r="L228" t="s">
        <v>24</v>
      </c>
      <c r="M228">
        <v>0</v>
      </c>
      <c r="N228" t="s">
        <v>83</v>
      </c>
      <c r="O228">
        <v>73.3</v>
      </c>
    </row>
    <row r="229" spans="1:15" x14ac:dyDescent="0.3">
      <c r="A229" t="s">
        <v>750</v>
      </c>
      <c r="B229" t="s">
        <v>16</v>
      </c>
      <c r="C229" t="s">
        <v>17</v>
      </c>
      <c r="D229" t="s">
        <v>18</v>
      </c>
      <c r="E229">
        <v>21</v>
      </c>
      <c r="F229">
        <v>20.100000000000001</v>
      </c>
      <c r="G229">
        <v>65.5</v>
      </c>
      <c r="H229">
        <v>6.8</v>
      </c>
      <c r="I229">
        <v>2</v>
      </c>
      <c r="J229">
        <v>4</v>
      </c>
      <c r="K229" t="s">
        <v>23</v>
      </c>
      <c r="L229" t="s">
        <v>60</v>
      </c>
      <c r="M229">
        <v>0</v>
      </c>
      <c r="N229" t="s">
        <v>25</v>
      </c>
      <c r="O229">
        <v>92.7</v>
      </c>
    </row>
    <row r="230" spans="1:15" x14ac:dyDescent="0.3">
      <c r="A230" t="s">
        <v>752</v>
      </c>
      <c r="B230" t="s">
        <v>16</v>
      </c>
      <c r="C230" t="s">
        <v>43</v>
      </c>
      <c r="D230" t="s">
        <v>29</v>
      </c>
      <c r="E230">
        <v>25</v>
      </c>
      <c r="F230">
        <v>20.2</v>
      </c>
      <c r="G230">
        <v>42.6</v>
      </c>
      <c r="I230">
        <v>6</v>
      </c>
      <c r="J230">
        <v>2</v>
      </c>
      <c r="K230" t="s">
        <v>23</v>
      </c>
      <c r="L230" t="s">
        <v>60</v>
      </c>
      <c r="M230">
        <v>2</v>
      </c>
      <c r="N230" t="s">
        <v>829</v>
      </c>
      <c r="O230">
        <v>76.599999999999994</v>
      </c>
    </row>
    <row r="231" spans="1:15" x14ac:dyDescent="0.3">
      <c r="A231" t="s">
        <v>754</v>
      </c>
      <c r="B231" t="s">
        <v>48</v>
      </c>
      <c r="C231" t="s">
        <v>43</v>
      </c>
      <c r="D231" t="s">
        <v>18</v>
      </c>
      <c r="F231">
        <v>10.199999999999999</v>
      </c>
      <c r="G231">
        <v>23.1</v>
      </c>
      <c r="I231">
        <v>2</v>
      </c>
      <c r="J231">
        <v>4</v>
      </c>
      <c r="K231" t="s">
        <v>23</v>
      </c>
      <c r="L231" t="s">
        <v>77</v>
      </c>
      <c r="M231">
        <v>0</v>
      </c>
      <c r="N231" t="s">
        <v>35</v>
      </c>
      <c r="O231">
        <v>74.599999999999994</v>
      </c>
    </row>
    <row r="232" spans="1:15" x14ac:dyDescent="0.3">
      <c r="A232" t="s">
        <v>756</v>
      </c>
      <c r="B232" t="s">
        <v>28</v>
      </c>
      <c r="C232" t="s">
        <v>17</v>
      </c>
      <c r="D232" t="s">
        <v>18</v>
      </c>
      <c r="E232">
        <v>24</v>
      </c>
      <c r="F232">
        <v>15.1</v>
      </c>
      <c r="G232">
        <v>6.3</v>
      </c>
      <c r="H232">
        <v>7.5</v>
      </c>
      <c r="I232">
        <v>3</v>
      </c>
      <c r="J232">
        <v>4</v>
      </c>
      <c r="K232" t="s">
        <v>23</v>
      </c>
      <c r="L232" t="s">
        <v>24</v>
      </c>
      <c r="M232">
        <v>0</v>
      </c>
      <c r="N232" t="s">
        <v>35</v>
      </c>
    </row>
    <row r="233" spans="1:15" x14ac:dyDescent="0.3">
      <c r="A233" t="s">
        <v>758</v>
      </c>
      <c r="B233" t="s">
        <v>80</v>
      </c>
      <c r="C233" t="s">
        <v>43</v>
      </c>
      <c r="D233" t="s">
        <v>18</v>
      </c>
      <c r="E233">
        <v>20</v>
      </c>
      <c r="F233">
        <v>2</v>
      </c>
      <c r="G233">
        <v>25.2</v>
      </c>
      <c r="H233">
        <v>6.9</v>
      </c>
      <c r="I233">
        <v>1</v>
      </c>
      <c r="J233">
        <v>4</v>
      </c>
      <c r="K233" t="s">
        <v>23</v>
      </c>
      <c r="L233" t="s">
        <v>41</v>
      </c>
      <c r="M233">
        <v>0</v>
      </c>
      <c r="N233" t="s">
        <v>35</v>
      </c>
      <c r="O233">
        <v>53.3</v>
      </c>
    </row>
    <row r="234" spans="1:15" x14ac:dyDescent="0.3">
      <c r="A234" t="s">
        <v>760</v>
      </c>
      <c r="B234" t="s">
        <v>16</v>
      </c>
      <c r="C234" t="s">
        <v>43</v>
      </c>
      <c r="D234" t="s">
        <v>18</v>
      </c>
      <c r="E234">
        <v>24</v>
      </c>
      <c r="F234">
        <v>13.4</v>
      </c>
      <c r="G234">
        <v>7.2</v>
      </c>
      <c r="H234">
        <v>7.3</v>
      </c>
      <c r="I234">
        <v>4</v>
      </c>
      <c r="J234">
        <v>3</v>
      </c>
      <c r="K234" t="s">
        <v>23</v>
      </c>
      <c r="L234" t="s">
        <v>34</v>
      </c>
      <c r="M234">
        <v>2</v>
      </c>
      <c r="N234" t="s">
        <v>35</v>
      </c>
      <c r="O234">
        <v>70.900000000000006</v>
      </c>
    </row>
    <row r="235" spans="1:15" x14ac:dyDescent="0.3">
      <c r="A235" t="s">
        <v>762</v>
      </c>
      <c r="B235" t="s">
        <v>28</v>
      </c>
      <c r="C235" t="s">
        <v>210</v>
      </c>
      <c r="D235" t="s">
        <v>18</v>
      </c>
      <c r="E235">
        <v>25</v>
      </c>
      <c r="F235">
        <v>18.5</v>
      </c>
      <c r="G235">
        <v>26.9</v>
      </c>
      <c r="H235">
        <v>6.8</v>
      </c>
      <c r="I235">
        <v>2</v>
      </c>
      <c r="J235">
        <v>4</v>
      </c>
      <c r="K235" t="s">
        <v>51</v>
      </c>
      <c r="L235" t="s">
        <v>34</v>
      </c>
      <c r="M235">
        <v>1</v>
      </c>
      <c r="N235" t="s">
        <v>35</v>
      </c>
      <c r="O235">
        <v>86.8</v>
      </c>
    </row>
    <row r="236" spans="1:15" x14ac:dyDescent="0.3">
      <c r="A236" t="s">
        <v>764</v>
      </c>
      <c r="B236" t="s">
        <v>28</v>
      </c>
      <c r="C236" t="s">
        <v>210</v>
      </c>
      <c r="D236" t="s">
        <v>18</v>
      </c>
      <c r="E236">
        <v>23</v>
      </c>
      <c r="F236">
        <v>15.1</v>
      </c>
      <c r="G236">
        <v>36.6</v>
      </c>
      <c r="H236">
        <v>6.8</v>
      </c>
      <c r="I236">
        <v>3</v>
      </c>
      <c r="J236">
        <v>4</v>
      </c>
      <c r="K236" t="s">
        <v>23</v>
      </c>
      <c r="L236" t="s">
        <v>34</v>
      </c>
      <c r="M236">
        <v>0</v>
      </c>
      <c r="N236" t="s">
        <v>25</v>
      </c>
      <c r="O236">
        <v>85.3</v>
      </c>
    </row>
    <row r="237" spans="1:15" x14ac:dyDescent="0.3">
      <c r="A237" t="s">
        <v>767</v>
      </c>
      <c r="B237" t="s">
        <v>16</v>
      </c>
      <c r="C237" t="s">
        <v>55</v>
      </c>
      <c r="D237" t="s">
        <v>18</v>
      </c>
      <c r="E237">
        <v>22</v>
      </c>
      <c r="F237">
        <v>12.2</v>
      </c>
      <c r="G237">
        <v>44.8</v>
      </c>
      <c r="H237">
        <v>8.5</v>
      </c>
      <c r="I237">
        <v>4</v>
      </c>
      <c r="J237">
        <v>4</v>
      </c>
      <c r="K237" t="s">
        <v>23</v>
      </c>
      <c r="L237" t="s">
        <v>41</v>
      </c>
      <c r="M237">
        <v>2</v>
      </c>
      <c r="N237" t="s">
        <v>35</v>
      </c>
      <c r="O237">
        <v>77.099999999999994</v>
      </c>
    </row>
    <row r="238" spans="1:15" x14ac:dyDescent="0.3">
      <c r="A238" t="s">
        <v>769</v>
      </c>
      <c r="B238" t="s">
        <v>80</v>
      </c>
      <c r="C238" t="s">
        <v>43</v>
      </c>
      <c r="D238" t="s">
        <v>18</v>
      </c>
      <c r="E238">
        <v>21</v>
      </c>
      <c r="F238">
        <v>14.5</v>
      </c>
      <c r="G238">
        <v>13.2</v>
      </c>
      <c r="H238">
        <v>9.5</v>
      </c>
      <c r="I238">
        <v>3</v>
      </c>
      <c r="J238">
        <v>3</v>
      </c>
      <c r="K238" t="s">
        <v>23</v>
      </c>
      <c r="L238" t="s">
        <v>60</v>
      </c>
      <c r="M238">
        <v>3</v>
      </c>
      <c r="N238" t="s">
        <v>35</v>
      </c>
      <c r="O238">
        <v>92.3</v>
      </c>
    </row>
    <row r="239" spans="1:15" x14ac:dyDescent="0.3">
      <c r="A239" t="s">
        <v>773</v>
      </c>
      <c r="B239" t="s">
        <v>16</v>
      </c>
      <c r="C239" t="s">
        <v>210</v>
      </c>
      <c r="D239" t="s">
        <v>18</v>
      </c>
      <c r="E239">
        <v>21</v>
      </c>
      <c r="F239">
        <v>16.100000000000001</v>
      </c>
      <c r="G239">
        <v>92</v>
      </c>
      <c r="I239">
        <v>1</v>
      </c>
      <c r="J239">
        <v>5</v>
      </c>
      <c r="K239" t="s">
        <v>23</v>
      </c>
      <c r="L239" t="s">
        <v>41</v>
      </c>
      <c r="M239">
        <v>1</v>
      </c>
      <c r="N239" t="s">
        <v>61</v>
      </c>
      <c r="O239">
        <v>70</v>
      </c>
    </row>
    <row r="240" spans="1:15" x14ac:dyDescent="0.3">
      <c r="A240" t="s">
        <v>775</v>
      </c>
      <c r="B240" t="s">
        <v>16</v>
      </c>
      <c r="C240" t="s">
        <v>17</v>
      </c>
      <c r="D240" t="s">
        <v>29</v>
      </c>
      <c r="E240">
        <v>21</v>
      </c>
      <c r="F240">
        <v>22.8</v>
      </c>
      <c r="G240">
        <v>142.30000000000001</v>
      </c>
      <c r="H240">
        <v>7.1</v>
      </c>
      <c r="I240">
        <v>2</v>
      </c>
      <c r="J240">
        <v>4</v>
      </c>
      <c r="K240" t="s">
        <v>51</v>
      </c>
      <c r="L240" t="s">
        <v>77</v>
      </c>
      <c r="M240">
        <v>1</v>
      </c>
      <c r="N240" t="s">
        <v>83</v>
      </c>
      <c r="O240">
        <v>85.3</v>
      </c>
    </row>
    <row r="241" spans="1:15" x14ac:dyDescent="0.3">
      <c r="A241" t="s">
        <v>777</v>
      </c>
      <c r="B241" t="s">
        <v>80</v>
      </c>
      <c r="C241" t="s">
        <v>43</v>
      </c>
      <c r="D241" t="s">
        <v>18</v>
      </c>
      <c r="E241">
        <v>20</v>
      </c>
      <c r="F241">
        <v>20.5</v>
      </c>
      <c r="G241">
        <v>25.9</v>
      </c>
      <c r="H241">
        <v>8.1999999999999993</v>
      </c>
      <c r="I241">
        <v>5</v>
      </c>
      <c r="J241">
        <v>3</v>
      </c>
      <c r="K241" t="s">
        <v>23</v>
      </c>
      <c r="L241" t="s">
        <v>41</v>
      </c>
      <c r="M241">
        <v>0</v>
      </c>
      <c r="N241" t="s">
        <v>25</v>
      </c>
      <c r="O241">
        <v>94.1</v>
      </c>
    </row>
    <row r="242" spans="1:15" x14ac:dyDescent="0.3">
      <c r="A242" t="s">
        <v>838</v>
      </c>
      <c r="B242" t="s">
        <v>80</v>
      </c>
      <c r="C242" t="s">
        <v>43</v>
      </c>
      <c r="D242" t="s">
        <v>29</v>
      </c>
      <c r="E242">
        <v>26</v>
      </c>
      <c r="F242">
        <v>19.100000000000001</v>
      </c>
      <c r="G242">
        <v>34.799999999999997</v>
      </c>
      <c r="H242">
        <v>7.6</v>
      </c>
      <c r="I242">
        <v>4</v>
      </c>
      <c r="J242">
        <v>3</v>
      </c>
      <c r="K242" t="s">
        <v>23</v>
      </c>
      <c r="L242" t="s">
        <v>77</v>
      </c>
      <c r="M242">
        <v>0</v>
      </c>
      <c r="N242" t="s">
        <v>61</v>
      </c>
      <c r="O242">
        <v>83.7</v>
      </c>
    </row>
    <row r="243" spans="1:15" x14ac:dyDescent="0.3">
      <c r="A243" t="s">
        <v>782</v>
      </c>
      <c r="B243" t="s">
        <v>80</v>
      </c>
      <c r="C243" t="s">
        <v>43</v>
      </c>
      <c r="D243" t="s">
        <v>29</v>
      </c>
      <c r="E243">
        <v>22</v>
      </c>
      <c r="F243">
        <v>19.5</v>
      </c>
      <c r="G243">
        <v>110.8</v>
      </c>
      <c r="H243">
        <v>5.9</v>
      </c>
      <c r="I243">
        <v>8</v>
      </c>
      <c r="J243">
        <v>4</v>
      </c>
      <c r="K243" t="s">
        <v>23</v>
      </c>
      <c r="L243" t="s">
        <v>41</v>
      </c>
      <c r="M243">
        <v>2</v>
      </c>
      <c r="N243" t="s">
        <v>83</v>
      </c>
      <c r="O243">
        <v>70.7</v>
      </c>
    </row>
    <row r="244" spans="1:15" x14ac:dyDescent="0.3">
      <c r="A244" t="s">
        <v>785</v>
      </c>
      <c r="B244" t="s">
        <v>28</v>
      </c>
      <c r="C244" t="s">
        <v>150</v>
      </c>
      <c r="D244" t="s">
        <v>18</v>
      </c>
      <c r="E244">
        <v>24</v>
      </c>
      <c r="F244">
        <v>15.2</v>
      </c>
      <c r="G244">
        <v>24</v>
      </c>
      <c r="H244">
        <v>8.6999999999999993</v>
      </c>
      <c r="I244">
        <v>2</v>
      </c>
      <c r="K244" t="s">
        <v>23</v>
      </c>
      <c r="L244" t="s">
        <v>41</v>
      </c>
      <c r="M244">
        <v>4</v>
      </c>
      <c r="N244" t="s">
        <v>829</v>
      </c>
      <c r="O244">
        <v>84.9</v>
      </c>
    </row>
    <row r="245" spans="1:15" x14ac:dyDescent="0.3">
      <c r="A245" t="s">
        <v>788</v>
      </c>
      <c r="B245" t="s">
        <v>16</v>
      </c>
      <c r="C245" t="s">
        <v>210</v>
      </c>
      <c r="D245" t="s">
        <v>18</v>
      </c>
      <c r="E245">
        <v>21</v>
      </c>
      <c r="F245">
        <v>26.4</v>
      </c>
      <c r="G245">
        <v>50.4</v>
      </c>
      <c r="I245">
        <v>4</v>
      </c>
      <c r="J245">
        <v>2</v>
      </c>
      <c r="K245" t="s">
        <v>23</v>
      </c>
      <c r="L245" t="s">
        <v>41</v>
      </c>
      <c r="M245">
        <v>2</v>
      </c>
      <c r="N245" t="s">
        <v>83</v>
      </c>
      <c r="O245">
        <v>100</v>
      </c>
    </row>
    <row r="246" spans="1:15" x14ac:dyDescent="0.3">
      <c r="A246" t="s">
        <v>789</v>
      </c>
      <c r="B246" t="s">
        <v>16</v>
      </c>
      <c r="C246" t="s">
        <v>43</v>
      </c>
      <c r="D246" t="s">
        <v>29</v>
      </c>
      <c r="E246">
        <v>24</v>
      </c>
      <c r="F246">
        <v>20.8</v>
      </c>
      <c r="G246">
        <v>33.1</v>
      </c>
      <c r="H246">
        <v>7</v>
      </c>
      <c r="I246">
        <v>0</v>
      </c>
      <c r="J246">
        <v>4</v>
      </c>
      <c r="K246" t="s">
        <v>23</v>
      </c>
      <c r="L246" t="s">
        <v>41</v>
      </c>
      <c r="M246">
        <v>0</v>
      </c>
      <c r="N246" t="s">
        <v>83</v>
      </c>
      <c r="O246">
        <v>83.6</v>
      </c>
    </row>
    <row r="247" spans="1:15" x14ac:dyDescent="0.3">
      <c r="A247" t="s">
        <v>791</v>
      </c>
      <c r="B247" t="s">
        <v>16</v>
      </c>
      <c r="C247" t="s">
        <v>43</v>
      </c>
      <c r="D247" t="s">
        <v>29</v>
      </c>
      <c r="E247">
        <v>27</v>
      </c>
      <c r="F247">
        <v>27.8</v>
      </c>
      <c r="G247">
        <v>38.1</v>
      </c>
      <c r="H247">
        <v>6.5</v>
      </c>
      <c r="I247">
        <v>2</v>
      </c>
      <c r="J247">
        <v>4</v>
      </c>
      <c r="K247" t="s">
        <v>23</v>
      </c>
      <c r="L247" t="s">
        <v>34</v>
      </c>
      <c r="M247">
        <v>2</v>
      </c>
      <c r="N247" t="s">
        <v>61</v>
      </c>
      <c r="O247">
        <v>100</v>
      </c>
    </row>
    <row r="248" spans="1:15" x14ac:dyDescent="0.3">
      <c r="A248" t="s">
        <v>794</v>
      </c>
      <c r="B248" t="s">
        <v>16</v>
      </c>
      <c r="C248" t="s">
        <v>55</v>
      </c>
      <c r="D248" t="s">
        <v>29</v>
      </c>
      <c r="F248">
        <v>21.1</v>
      </c>
      <c r="I248">
        <v>4</v>
      </c>
      <c r="J248">
        <v>3</v>
      </c>
      <c r="K248" t="s">
        <v>23</v>
      </c>
      <c r="L248" t="s">
        <v>41</v>
      </c>
      <c r="M248">
        <v>1</v>
      </c>
      <c r="N248" t="s">
        <v>83</v>
      </c>
      <c r="O248">
        <v>93.3</v>
      </c>
    </row>
    <row r="249" spans="1:15" x14ac:dyDescent="0.3">
      <c r="A249" t="s">
        <v>795</v>
      </c>
      <c r="B249" t="s">
        <v>16</v>
      </c>
      <c r="C249" t="s">
        <v>43</v>
      </c>
      <c r="D249" t="s">
        <v>29</v>
      </c>
      <c r="E249">
        <v>21</v>
      </c>
      <c r="F249">
        <v>20.7</v>
      </c>
      <c r="G249">
        <v>36.299999999999997</v>
      </c>
      <c r="H249">
        <v>4.5</v>
      </c>
      <c r="I249">
        <v>4</v>
      </c>
      <c r="J249">
        <v>4</v>
      </c>
      <c r="K249" t="s">
        <v>23</v>
      </c>
      <c r="L249" t="s">
        <v>24</v>
      </c>
      <c r="M249">
        <v>1</v>
      </c>
      <c r="N249" t="s">
        <v>35</v>
      </c>
      <c r="O249">
        <v>88.8</v>
      </c>
    </row>
    <row r="250" spans="1:15" x14ac:dyDescent="0.3">
      <c r="A250" t="s">
        <v>798</v>
      </c>
      <c r="B250" t="s">
        <v>80</v>
      </c>
      <c r="C250" t="s">
        <v>55</v>
      </c>
      <c r="D250" t="s">
        <v>18</v>
      </c>
      <c r="E250">
        <v>26</v>
      </c>
      <c r="F250">
        <v>17</v>
      </c>
      <c r="G250">
        <v>19.399999999999999</v>
      </c>
      <c r="H250">
        <v>5.6</v>
      </c>
      <c r="I250">
        <v>2</v>
      </c>
      <c r="J250">
        <v>3</v>
      </c>
      <c r="K250" t="s">
        <v>51</v>
      </c>
      <c r="L250" t="s">
        <v>41</v>
      </c>
      <c r="M250">
        <v>0</v>
      </c>
      <c r="N250" t="s">
        <v>35</v>
      </c>
      <c r="O250">
        <v>75.599999999999994</v>
      </c>
    </row>
    <row r="251" spans="1:15" x14ac:dyDescent="0.3">
      <c r="A251" t="s">
        <v>800</v>
      </c>
      <c r="B251" t="s">
        <v>16</v>
      </c>
      <c r="C251" t="s">
        <v>210</v>
      </c>
      <c r="D251" t="s">
        <v>18</v>
      </c>
      <c r="E251">
        <v>23</v>
      </c>
      <c r="F251">
        <v>23.1</v>
      </c>
      <c r="G251">
        <v>89.2</v>
      </c>
      <c r="H251">
        <v>6.4</v>
      </c>
      <c r="I251">
        <v>3</v>
      </c>
      <c r="J251">
        <v>2</v>
      </c>
      <c r="K251" t="s">
        <v>23</v>
      </c>
      <c r="L251" t="s">
        <v>41</v>
      </c>
      <c r="M251">
        <v>1</v>
      </c>
      <c r="O251">
        <v>100</v>
      </c>
    </row>
    <row r="252" spans="1:15" x14ac:dyDescent="0.3">
      <c r="A252" t="s">
        <v>802</v>
      </c>
      <c r="B252" t="s">
        <v>80</v>
      </c>
      <c r="C252" t="s">
        <v>55</v>
      </c>
      <c r="D252" t="s">
        <v>29</v>
      </c>
      <c r="E252">
        <v>25</v>
      </c>
      <c r="F252">
        <v>7.5</v>
      </c>
      <c r="G252">
        <v>95.1</v>
      </c>
      <c r="H252">
        <v>9</v>
      </c>
      <c r="I252">
        <v>3</v>
      </c>
      <c r="J252">
        <v>4</v>
      </c>
      <c r="K252" t="s">
        <v>51</v>
      </c>
      <c r="L252" t="s">
        <v>24</v>
      </c>
      <c r="M252">
        <v>0</v>
      </c>
      <c r="N252" t="s">
        <v>829</v>
      </c>
      <c r="O252">
        <v>62.5</v>
      </c>
    </row>
    <row r="253" spans="1:15" x14ac:dyDescent="0.3">
      <c r="A253" t="s">
        <v>806</v>
      </c>
      <c r="B253" t="s">
        <v>16</v>
      </c>
      <c r="C253" t="s">
        <v>150</v>
      </c>
      <c r="D253" t="s">
        <v>29</v>
      </c>
      <c r="E253">
        <v>22</v>
      </c>
      <c r="F253">
        <v>15.3</v>
      </c>
      <c r="G253">
        <v>17.8</v>
      </c>
      <c r="H253">
        <v>5.5</v>
      </c>
      <c r="I253">
        <v>2</v>
      </c>
      <c r="J253">
        <v>2</v>
      </c>
      <c r="K253" t="s">
        <v>23</v>
      </c>
      <c r="L253" t="s">
        <v>77</v>
      </c>
      <c r="M253">
        <v>0</v>
      </c>
      <c r="N253" t="s">
        <v>238</v>
      </c>
      <c r="O253">
        <v>74.400000000000006</v>
      </c>
    </row>
    <row r="254" spans="1:15" x14ac:dyDescent="0.3">
      <c r="A254" t="s">
        <v>807</v>
      </c>
      <c r="B254" t="s">
        <v>28</v>
      </c>
      <c r="C254" t="s">
        <v>150</v>
      </c>
      <c r="D254" t="s">
        <v>29</v>
      </c>
      <c r="F254">
        <v>22.3</v>
      </c>
      <c r="G254">
        <v>70</v>
      </c>
      <c r="H254">
        <v>6.7</v>
      </c>
      <c r="I254">
        <v>2</v>
      </c>
      <c r="J254">
        <v>2</v>
      </c>
      <c r="K254" t="s">
        <v>23</v>
      </c>
      <c r="L254" t="s">
        <v>34</v>
      </c>
      <c r="M254">
        <v>0</v>
      </c>
      <c r="N254" t="s">
        <v>25</v>
      </c>
      <c r="O254">
        <v>84.4</v>
      </c>
    </row>
    <row r="255" spans="1:15" x14ac:dyDescent="0.3">
      <c r="A255" t="s">
        <v>811</v>
      </c>
      <c r="B255" t="s">
        <v>48</v>
      </c>
      <c r="C255" t="s">
        <v>210</v>
      </c>
      <c r="D255" t="s">
        <v>18</v>
      </c>
      <c r="E255">
        <v>20</v>
      </c>
      <c r="F255">
        <v>7.5</v>
      </c>
      <c r="G255">
        <v>58</v>
      </c>
      <c r="H255">
        <v>7</v>
      </c>
      <c r="I255">
        <v>4</v>
      </c>
      <c r="K255" t="s">
        <v>23</v>
      </c>
      <c r="L255" t="s">
        <v>41</v>
      </c>
      <c r="M255">
        <v>1</v>
      </c>
      <c r="N255" t="s">
        <v>238</v>
      </c>
      <c r="O255">
        <v>75.8</v>
      </c>
    </row>
    <row r="256" spans="1:15" x14ac:dyDescent="0.3">
      <c r="A256" t="s">
        <v>813</v>
      </c>
      <c r="B256" t="s">
        <v>48</v>
      </c>
      <c r="C256" t="s">
        <v>55</v>
      </c>
      <c r="D256" t="s">
        <v>18</v>
      </c>
      <c r="E256">
        <v>28</v>
      </c>
      <c r="F256">
        <v>16.399999999999999</v>
      </c>
      <c r="G256">
        <v>25.5</v>
      </c>
      <c r="H256">
        <v>5.2</v>
      </c>
      <c r="I256">
        <v>1</v>
      </c>
      <c r="J256">
        <v>4</v>
      </c>
      <c r="K256" t="s">
        <v>51</v>
      </c>
      <c r="L256" t="s">
        <v>41</v>
      </c>
      <c r="M256">
        <v>1</v>
      </c>
      <c r="N256" t="s">
        <v>829</v>
      </c>
      <c r="O256">
        <v>65.599999999999994</v>
      </c>
    </row>
    <row r="257" spans="1:15" x14ac:dyDescent="0.3">
      <c r="A257" t="s">
        <v>816</v>
      </c>
      <c r="B257" t="s">
        <v>80</v>
      </c>
      <c r="C257" t="s">
        <v>150</v>
      </c>
      <c r="D257" t="s">
        <v>18</v>
      </c>
      <c r="E257">
        <v>21</v>
      </c>
      <c r="F257">
        <v>17.399999999999999</v>
      </c>
      <c r="G257">
        <v>64.099999999999994</v>
      </c>
      <c r="H257">
        <v>8.5</v>
      </c>
      <c r="I257">
        <v>4</v>
      </c>
      <c r="J257">
        <v>4</v>
      </c>
      <c r="K257" t="s">
        <v>23</v>
      </c>
      <c r="L257" t="s">
        <v>24</v>
      </c>
      <c r="M257">
        <v>0</v>
      </c>
      <c r="N257" t="s">
        <v>83</v>
      </c>
      <c r="O257">
        <v>81.900000000000006</v>
      </c>
    </row>
    <row r="258" spans="1:15" x14ac:dyDescent="0.3">
      <c r="A258" t="s">
        <v>819</v>
      </c>
      <c r="B258" t="s">
        <v>16</v>
      </c>
      <c r="C258" t="s">
        <v>43</v>
      </c>
      <c r="D258" t="s">
        <v>18</v>
      </c>
      <c r="E258">
        <v>23</v>
      </c>
      <c r="F258">
        <v>17.100000000000001</v>
      </c>
      <c r="G258">
        <v>46.4</v>
      </c>
      <c r="H258">
        <v>8.9</v>
      </c>
      <c r="I258">
        <v>1</v>
      </c>
      <c r="J258">
        <v>4</v>
      </c>
      <c r="K258" t="s">
        <v>51</v>
      </c>
      <c r="L258" t="s">
        <v>41</v>
      </c>
      <c r="M258">
        <v>3</v>
      </c>
      <c r="N258" t="s">
        <v>35</v>
      </c>
      <c r="O258">
        <v>89.4</v>
      </c>
    </row>
    <row r="259" spans="1:15" x14ac:dyDescent="0.3">
      <c r="A259" t="s">
        <v>821</v>
      </c>
      <c r="B259" t="s">
        <v>86</v>
      </c>
      <c r="C259" t="s">
        <v>17</v>
      </c>
      <c r="D259" t="s">
        <v>18</v>
      </c>
      <c r="E259">
        <v>26</v>
      </c>
      <c r="F259">
        <v>12.9</v>
      </c>
      <c r="H259">
        <v>7</v>
      </c>
      <c r="I259">
        <v>2</v>
      </c>
      <c r="J259">
        <v>2</v>
      </c>
      <c r="K259" t="s">
        <v>51</v>
      </c>
      <c r="L259" t="s">
        <v>60</v>
      </c>
      <c r="M259">
        <v>1</v>
      </c>
      <c r="N259" t="s">
        <v>83</v>
      </c>
      <c r="O259">
        <v>76.5</v>
      </c>
    </row>
    <row r="260" spans="1:15" x14ac:dyDescent="0.3">
      <c r="A260" t="s">
        <v>823</v>
      </c>
      <c r="B260" t="s">
        <v>86</v>
      </c>
      <c r="C260" t="s">
        <v>150</v>
      </c>
      <c r="D260" t="s">
        <v>18</v>
      </c>
      <c r="E260">
        <v>25</v>
      </c>
      <c r="F260">
        <v>24.7</v>
      </c>
      <c r="G260">
        <v>34.1</v>
      </c>
      <c r="H260">
        <v>8.5</v>
      </c>
      <c r="I260">
        <v>4</v>
      </c>
      <c r="J260">
        <v>5</v>
      </c>
      <c r="K260" t="s">
        <v>23</v>
      </c>
      <c r="L260" t="s">
        <v>34</v>
      </c>
      <c r="M260">
        <v>3</v>
      </c>
      <c r="N260" t="s">
        <v>61</v>
      </c>
      <c r="O260">
        <v>96.4</v>
      </c>
    </row>
    <row r="261" spans="1:15" x14ac:dyDescent="0.3">
      <c r="A261" t="s">
        <v>826</v>
      </c>
      <c r="B261" t="s">
        <v>28</v>
      </c>
      <c r="C261" t="s">
        <v>17</v>
      </c>
      <c r="D261" t="s">
        <v>29</v>
      </c>
      <c r="E261">
        <v>24</v>
      </c>
      <c r="G261">
        <v>29.8</v>
      </c>
      <c r="H261">
        <v>8.4</v>
      </c>
      <c r="I261">
        <v>2</v>
      </c>
      <c r="J261">
        <v>3</v>
      </c>
      <c r="K261" t="s">
        <v>23</v>
      </c>
      <c r="L261" t="s">
        <v>41</v>
      </c>
      <c r="M261">
        <v>0</v>
      </c>
      <c r="N261" t="s">
        <v>35</v>
      </c>
      <c r="O261">
        <v>85.4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B7CD2-E9A4-40ED-8523-03F9772EF92C}">
  <dimension ref="A1:F32"/>
  <sheetViews>
    <sheetView workbookViewId="0">
      <selection activeCell="C7" sqref="C7"/>
    </sheetView>
  </sheetViews>
  <sheetFormatPr defaultRowHeight="14.4" x14ac:dyDescent="0.3"/>
  <cols>
    <col min="2" max="2" width="22.77734375" customWidth="1"/>
    <col min="3" max="3" width="30.21875" customWidth="1"/>
    <col min="4" max="4" width="15.77734375" customWidth="1"/>
    <col min="5" max="5" width="67.6640625" customWidth="1"/>
    <col min="6" max="6" width="97.6640625" customWidth="1"/>
  </cols>
  <sheetData>
    <row r="1" spans="1:6" x14ac:dyDescent="0.3">
      <c r="A1" s="94" t="s">
        <v>839</v>
      </c>
      <c r="B1" s="95"/>
      <c r="C1" s="95"/>
      <c r="D1" s="95"/>
      <c r="E1" s="95"/>
      <c r="F1" s="95"/>
    </row>
    <row r="3" spans="1:6" x14ac:dyDescent="0.3">
      <c r="A3" s="3" t="s">
        <v>840</v>
      </c>
      <c r="B3" s="3" t="s">
        <v>841</v>
      </c>
      <c r="C3" s="3" t="s">
        <v>842</v>
      </c>
      <c r="D3" s="3" t="s">
        <v>843</v>
      </c>
      <c r="E3" s="3" t="s">
        <v>844</v>
      </c>
      <c r="F3" s="3" t="s">
        <v>845</v>
      </c>
    </row>
    <row r="4" spans="1:6" x14ac:dyDescent="0.3">
      <c r="A4" s="4">
        <v>1</v>
      </c>
      <c r="B4" s="4" t="s">
        <v>0</v>
      </c>
      <c r="C4" s="4" t="s">
        <v>846</v>
      </c>
      <c r="D4" s="4">
        <v>11</v>
      </c>
      <c r="E4" s="4" t="s">
        <v>847</v>
      </c>
      <c r="F4" s="4" t="s">
        <v>848</v>
      </c>
    </row>
    <row r="5" spans="1:6" ht="28.8" x14ac:dyDescent="0.3">
      <c r="A5" s="4">
        <v>2</v>
      </c>
      <c r="B5" s="4" t="s">
        <v>1</v>
      </c>
      <c r="C5" s="4" t="s">
        <v>849</v>
      </c>
      <c r="D5" s="4">
        <v>7</v>
      </c>
      <c r="E5" s="4" t="s">
        <v>850</v>
      </c>
      <c r="F5" s="4" t="s">
        <v>851</v>
      </c>
    </row>
    <row r="6" spans="1:6" ht="28.8" x14ac:dyDescent="0.3">
      <c r="A6" s="4">
        <v>3</v>
      </c>
      <c r="B6" s="4" t="s">
        <v>2</v>
      </c>
      <c r="C6" s="4" t="s">
        <v>852</v>
      </c>
      <c r="D6" s="4">
        <v>9</v>
      </c>
      <c r="E6" s="4" t="s">
        <v>853</v>
      </c>
      <c r="F6" s="4" t="s">
        <v>854</v>
      </c>
    </row>
    <row r="7" spans="1:6" ht="28.8" x14ac:dyDescent="0.3">
      <c r="A7" s="4">
        <v>4</v>
      </c>
      <c r="B7" s="4" t="s">
        <v>3</v>
      </c>
      <c r="C7" s="4" t="s">
        <v>855</v>
      </c>
      <c r="D7" s="4">
        <v>13</v>
      </c>
      <c r="E7" s="4" t="s">
        <v>856</v>
      </c>
      <c r="F7" s="4" t="s">
        <v>857</v>
      </c>
    </row>
    <row r="8" spans="1:6" ht="28.8" x14ac:dyDescent="0.3">
      <c r="A8" s="4">
        <v>5</v>
      </c>
      <c r="B8" s="4" t="s">
        <v>10</v>
      </c>
      <c r="C8" s="4" t="s">
        <v>858</v>
      </c>
      <c r="D8" s="4">
        <v>9</v>
      </c>
      <c r="E8" s="4" t="s">
        <v>859</v>
      </c>
      <c r="F8" s="4" t="s">
        <v>860</v>
      </c>
    </row>
    <row r="9" spans="1:6" ht="28.8" x14ac:dyDescent="0.3">
      <c r="A9" s="4">
        <v>6</v>
      </c>
      <c r="B9" s="4" t="s">
        <v>11</v>
      </c>
      <c r="C9" s="4" t="s">
        <v>861</v>
      </c>
      <c r="D9" s="4">
        <v>8</v>
      </c>
      <c r="E9" s="4" t="s">
        <v>862</v>
      </c>
      <c r="F9" s="4" t="s">
        <v>863</v>
      </c>
    </row>
    <row r="10" spans="1:6" ht="28.8" x14ac:dyDescent="0.3">
      <c r="A10" s="4">
        <v>7</v>
      </c>
      <c r="B10" s="4" t="s">
        <v>864</v>
      </c>
      <c r="C10" s="4" t="s">
        <v>865</v>
      </c>
      <c r="D10" s="4">
        <v>9</v>
      </c>
      <c r="E10" s="4" t="s">
        <v>866</v>
      </c>
      <c r="F10" s="4" t="s">
        <v>867</v>
      </c>
    </row>
    <row r="11" spans="1:6" ht="28.8" x14ac:dyDescent="0.3">
      <c r="A11" s="4">
        <v>8</v>
      </c>
      <c r="B11" s="4" t="s">
        <v>868</v>
      </c>
      <c r="C11" s="4" t="s">
        <v>869</v>
      </c>
      <c r="D11" s="4">
        <v>19</v>
      </c>
      <c r="E11" s="4" t="s">
        <v>870</v>
      </c>
      <c r="F11" s="4" t="s">
        <v>871</v>
      </c>
    </row>
    <row r="12" spans="1:6" ht="28.8" x14ac:dyDescent="0.3">
      <c r="A12" s="4">
        <v>9</v>
      </c>
      <c r="B12" s="4" t="s">
        <v>4</v>
      </c>
      <c r="C12" s="4" t="s">
        <v>872</v>
      </c>
      <c r="D12" s="4">
        <v>4</v>
      </c>
      <c r="E12" s="4" t="s">
        <v>873</v>
      </c>
      <c r="F12" s="4" t="s">
        <v>874</v>
      </c>
    </row>
    <row r="13" spans="1:6" ht="28.8" x14ac:dyDescent="0.3">
      <c r="A13" s="4">
        <v>10</v>
      </c>
      <c r="B13" s="4" t="s">
        <v>5</v>
      </c>
      <c r="C13" s="4" t="s">
        <v>875</v>
      </c>
      <c r="D13" s="4">
        <v>3</v>
      </c>
      <c r="E13" s="4" t="s">
        <v>873</v>
      </c>
      <c r="F13" s="4" t="s">
        <v>876</v>
      </c>
    </row>
    <row r="14" spans="1:6" ht="28.8" x14ac:dyDescent="0.3">
      <c r="A14" s="4">
        <v>11</v>
      </c>
      <c r="B14" s="4" t="s">
        <v>7</v>
      </c>
      <c r="C14" s="4" t="s">
        <v>877</v>
      </c>
      <c r="D14" s="4">
        <v>4</v>
      </c>
      <c r="E14" s="4" t="s">
        <v>873</v>
      </c>
      <c r="F14" s="4" t="s">
        <v>878</v>
      </c>
    </row>
    <row r="15" spans="1:6" ht="28.8" x14ac:dyDescent="0.3">
      <c r="A15" s="4">
        <v>12</v>
      </c>
      <c r="B15" s="4" t="s">
        <v>9</v>
      </c>
      <c r="C15" s="4" t="s">
        <v>879</v>
      </c>
      <c r="D15" s="4">
        <v>3</v>
      </c>
      <c r="E15" s="4" t="s">
        <v>873</v>
      </c>
      <c r="F15" s="4" t="s">
        <v>880</v>
      </c>
    </row>
    <row r="16" spans="1:6" ht="28.8" x14ac:dyDescent="0.3">
      <c r="A16" s="4">
        <v>13</v>
      </c>
      <c r="B16" s="4" t="s">
        <v>12</v>
      </c>
      <c r="C16" s="4" t="s">
        <v>881</v>
      </c>
      <c r="D16" s="4">
        <v>3</v>
      </c>
      <c r="E16" s="4" t="s">
        <v>873</v>
      </c>
      <c r="F16" s="4" t="s">
        <v>882</v>
      </c>
    </row>
    <row r="17" spans="1:6" ht="28.8" x14ac:dyDescent="0.3">
      <c r="A17" s="4">
        <v>14</v>
      </c>
      <c r="B17" s="4" t="s">
        <v>14</v>
      </c>
      <c r="C17" s="4" t="s">
        <v>883</v>
      </c>
      <c r="D17" s="4">
        <v>3</v>
      </c>
      <c r="E17" s="4" t="s">
        <v>873</v>
      </c>
      <c r="F17" s="4" t="s">
        <v>884</v>
      </c>
    </row>
    <row r="18" spans="1:6" ht="28.8" x14ac:dyDescent="0.3">
      <c r="A18" s="4">
        <v>15</v>
      </c>
      <c r="B18" s="4" t="s">
        <v>6</v>
      </c>
      <c r="C18" s="4" t="s">
        <v>885</v>
      </c>
      <c r="D18" s="4">
        <v>15</v>
      </c>
      <c r="E18" s="4" t="s">
        <v>886</v>
      </c>
      <c r="F18" s="4" t="s">
        <v>887</v>
      </c>
    </row>
    <row r="19" spans="1:6" ht="28.8" x14ac:dyDescent="0.3">
      <c r="A19" s="4">
        <v>16</v>
      </c>
      <c r="B19" s="4" t="s">
        <v>13</v>
      </c>
      <c r="C19" s="4" t="s">
        <v>888</v>
      </c>
      <c r="D19" s="4">
        <v>29</v>
      </c>
      <c r="E19" s="4" t="s">
        <v>889</v>
      </c>
      <c r="F19" s="4" t="s">
        <v>890</v>
      </c>
    </row>
    <row r="21" spans="1:6" x14ac:dyDescent="0.3">
      <c r="A21" s="2"/>
      <c r="B21" s="2"/>
      <c r="C21" s="2"/>
      <c r="D21" s="2"/>
      <c r="E21" s="2"/>
      <c r="F21" s="2"/>
    </row>
    <row r="22" spans="1:6" x14ac:dyDescent="0.3">
      <c r="A22" s="2"/>
      <c r="B22" s="2"/>
      <c r="C22" s="2"/>
      <c r="D22" s="2"/>
      <c r="E22" s="2"/>
      <c r="F22" s="2"/>
    </row>
    <row r="23" spans="1:6" x14ac:dyDescent="0.3">
      <c r="A23" s="2"/>
      <c r="B23" s="2"/>
      <c r="C23" s="2"/>
      <c r="D23" s="2"/>
      <c r="E23" s="2"/>
      <c r="F23" s="2"/>
    </row>
    <row r="24" spans="1:6" x14ac:dyDescent="0.3">
      <c r="A24" s="2"/>
      <c r="B24" s="2"/>
      <c r="C24" s="2"/>
      <c r="D24" s="2"/>
      <c r="E24" s="2"/>
      <c r="F24" s="2"/>
    </row>
    <row r="25" spans="1:6" x14ac:dyDescent="0.3">
      <c r="A25" s="2"/>
      <c r="B25" s="2"/>
      <c r="C25" s="2"/>
      <c r="D25" s="2"/>
      <c r="E25" s="2"/>
      <c r="F25" s="2"/>
    </row>
    <row r="26" spans="1:6" x14ac:dyDescent="0.3">
      <c r="A26" s="2"/>
      <c r="B26" s="2"/>
      <c r="C26" s="2"/>
      <c r="D26" s="2"/>
      <c r="E26" s="2"/>
      <c r="F26" s="2"/>
    </row>
    <row r="27" spans="1:6" x14ac:dyDescent="0.3">
      <c r="A27" s="2"/>
      <c r="B27" s="2"/>
      <c r="C27" s="2"/>
      <c r="D27" s="2"/>
      <c r="E27" s="2"/>
      <c r="F27" s="2"/>
    </row>
    <row r="28" spans="1:6" x14ac:dyDescent="0.3">
      <c r="A28" s="2"/>
      <c r="B28" s="2"/>
      <c r="C28" s="2"/>
      <c r="D28" s="2"/>
      <c r="E28" s="2"/>
      <c r="F28" s="2"/>
    </row>
    <row r="29" spans="1:6" x14ac:dyDescent="0.3">
      <c r="A29" s="2"/>
      <c r="B29" s="2"/>
      <c r="C29" s="2"/>
      <c r="D29" s="2"/>
      <c r="E29" s="2"/>
      <c r="F29" s="2"/>
    </row>
    <row r="30" spans="1:6" x14ac:dyDescent="0.3">
      <c r="A30" s="2"/>
      <c r="B30" s="2"/>
      <c r="C30" s="2"/>
      <c r="D30" s="2"/>
      <c r="E30" s="2"/>
      <c r="F30" s="2"/>
    </row>
    <row r="31" spans="1:6" x14ac:dyDescent="0.3">
      <c r="A31" s="2"/>
      <c r="B31" s="2"/>
      <c r="C31" s="2"/>
      <c r="D31" s="2"/>
      <c r="E31" s="2"/>
      <c r="F31" s="2"/>
    </row>
    <row r="32" spans="1:6" x14ac:dyDescent="0.3">
      <c r="A32" s="2"/>
      <c r="B32" s="2"/>
      <c r="C32" s="2"/>
      <c r="D32" s="2"/>
      <c r="E32" s="2"/>
      <c r="F32" s="2"/>
    </row>
  </sheetData>
  <mergeCells count="1">
    <mergeCell ref="A1:F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CBB1-CEAC-4BFD-A8AF-5DFA3499F2D2}">
  <sheetPr>
    <tabColor rgb="FF92D050"/>
  </sheetPr>
  <dimension ref="A1:K354"/>
  <sheetViews>
    <sheetView tabSelected="1" topLeftCell="A333" workbookViewId="0">
      <selection activeCell="B354" sqref="B354"/>
    </sheetView>
  </sheetViews>
  <sheetFormatPr defaultRowHeight="14.4" x14ac:dyDescent="0.3"/>
  <cols>
    <col min="1" max="1" width="48.109375" customWidth="1"/>
    <col min="2" max="2" width="34.109375" customWidth="1"/>
    <col min="3" max="3" width="39.109375" customWidth="1"/>
    <col min="4" max="4" width="37.44140625" customWidth="1"/>
    <col min="5" max="5" width="23.33203125" customWidth="1"/>
  </cols>
  <sheetData>
    <row r="1" spans="1:4" ht="23.4" x14ac:dyDescent="0.45">
      <c r="A1" s="60" t="s">
        <v>891</v>
      </c>
      <c r="B1" s="60"/>
      <c r="C1" s="60"/>
      <c r="D1" s="60"/>
    </row>
    <row r="4" spans="1:4" ht="25.8" x14ac:dyDescent="0.5">
      <c r="A4" s="26" t="s">
        <v>892</v>
      </c>
      <c r="B4" s="27" t="s">
        <v>893</v>
      </c>
      <c r="C4" s="27" t="s">
        <v>894</v>
      </c>
      <c r="D4" s="27" t="s">
        <v>895</v>
      </c>
    </row>
    <row r="5" spans="1:4" x14ac:dyDescent="0.3">
      <c r="A5" t="s">
        <v>896</v>
      </c>
      <c r="B5" t="s">
        <v>923</v>
      </c>
      <c r="C5" s="10">
        <f>COUNT(cleaned_data!$G$2:$G$261)</f>
        <v>254</v>
      </c>
      <c r="D5" t="s">
        <v>897</v>
      </c>
    </row>
    <row r="6" spans="1:4" x14ac:dyDescent="0.3">
      <c r="A6" t="s">
        <v>898</v>
      </c>
      <c r="B6" t="s">
        <v>900</v>
      </c>
      <c r="C6" s="57">
        <f>AVERAGE(cleaned_data!$G$2:$G$261)</f>
        <v>45.29842519685036</v>
      </c>
      <c r="D6" t="s">
        <v>902</v>
      </c>
    </row>
    <row r="7" spans="1:4" x14ac:dyDescent="0.3">
      <c r="A7" t="s">
        <v>899</v>
      </c>
      <c r="B7" t="s">
        <v>901</v>
      </c>
      <c r="C7" s="10">
        <f>MEDIAN(cleaned_data!$G$2:$G$261)</f>
        <v>33.049999999999997</v>
      </c>
      <c r="D7" t="s">
        <v>902</v>
      </c>
    </row>
    <row r="8" spans="1:4" x14ac:dyDescent="0.3">
      <c r="A8" t="s">
        <v>903</v>
      </c>
      <c r="B8" t="s">
        <v>904</v>
      </c>
      <c r="C8" s="57">
        <f>MODE(cleaned_data!$G$2:$G$261)</f>
        <v>37.200000000000003</v>
      </c>
      <c r="D8" t="s">
        <v>902</v>
      </c>
    </row>
    <row r="9" spans="1:4" x14ac:dyDescent="0.3">
      <c r="A9" t="s">
        <v>905</v>
      </c>
      <c r="B9" t="s">
        <v>906</v>
      </c>
      <c r="C9" s="57">
        <f>MIN(cleaned_data!$G$2:$G$261)</f>
        <v>5</v>
      </c>
      <c r="D9" t="s">
        <v>902</v>
      </c>
    </row>
    <row r="10" spans="1:4" x14ac:dyDescent="0.3">
      <c r="A10" t="s">
        <v>907</v>
      </c>
      <c r="B10" t="s">
        <v>908</v>
      </c>
      <c r="C10" s="57">
        <f>MAX(cleaned_data!$G$2:$G$261)</f>
        <v>256.5</v>
      </c>
      <c r="D10" t="s">
        <v>902</v>
      </c>
    </row>
    <row r="11" spans="1:4" x14ac:dyDescent="0.3">
      <c r="A11" t="s">
        <v>909</v>
      </c>
      <c r="B11" t="s">
        <v>917</v>
      </c>
      <c r="C11" s="57">
        <f>C10-C9</f>
        <v>251.5</v>
      </c>
      <c r="D11" t="s">
        <v>902</v>
      </c>
    </row>
    <row r="12" spans="1:4" x14ac:dyDescent="0.3">
      <c r="A12" t="s">
        <v>910</v>
      </c>
      <c r="B12" t="s">
        <v>911</v>
      </c>
      <c r="C12" s="57">
        <f>STDEV(cleaned_data!$G$2:$G$261)</f>
        <v>39.57732209722716</v>
      </c>
      <c r="D12" t="s">
        <v>902</v>
      </c>
    </row>
    <row r="13" spans="1:4" x14ac:dyDescent="0.3">
      <c r="A13" t="s">
        <v>912</v>
      </c>
      <c r="B13" t="s">
        <v>913</v>
      </c>
      <c r="C13" s="10">
        <f>QUARTILE(cleaned_data!$G$2:$G$261,1)</f>
        <v>20.375</v>
      </c>
      <c r="D13" t="s">
        <v>902</v>
      </c>
    </row>
    <row r="14" spans="1:4" x14ac:dyDescent="0.3">
      <c r="A14" t="s">
        <v>914</v>
      </c>
      <c r="B14" t="s">
        <v>915</v>
      </c>
      <c r="C14" s="10">
        <f>QUARTILE(cleaned_data!$G$2:$G$261,3)</f>
        <v>58.35</v>
      </c>
      <c r="D14" t="s">
        <v>902</v>
      </c>
    </row>
    <row r="15" spans="1:4" x14ac:dyDescent="0.3">
      <c r="A15" t="s">
        <v>916</v>
      </c>
      <c r="B15" t="s">
        <v>918</v>
      </c>
      <c r="C15" s="57">
        <f>C14-C13</f>
        <v>37.975000000000001</v>
      </c>
      <c r="D15" t="s">
        <v>902</v>
      </c>
    </row>
    <row r="16" spans="1:4" x14ac:dyDescent="0.3">
      <c r="D16" t="s">
        <v>902</v>
      </c>
    </row>
    <row r="19" spans="1:5" s="6" customFormat="1" x14ac:dyDescent="0.3">
      <c r="A19" s="80" t="s">
        <v>919</v>
      </c>
      <c r="B19" s="81"/>
      <c r="C19" s="56">
        <f>C6-C7</f>
        <v>12.248425196850363</v>
      </c>
      <c r="D19" s="6" t="s">
        <v>902</v>
      </c>
    </row>
    <row r="20" spans="1:5" s="7" customFormat="1" x14ac:dyDescent="0.3">
      <c r="A20" s="87" t="s">
        <v>920</v>
      </c>
      <c r="B20" s="84"/>
      <c r="C20" s="84" t="str">
        <f>IF($C$6&gt;$C$7,"Right-Skewed (Positive Skew)",IF($C$6&lt;$C$7,"Left-Skewed (Negative Skew)","Symmetric"))</f>
        <v>Right-Skewed (Positive Skew)</v>
      </c>
      <c r="D20" s="84"/>
      <c r="E20" s="84"/>
    </row>
    <row r="22" spans="1:5" s="5" customFormat="1" x14ac:dyDescent="0.3">
      <c r="A22" s="85" t="s">
        <v>921</v>
      </c>
      <c r="B22" s="86"/>
      <c r="C22" s="5" cm="1">
        <f t="array" ref="C22">MAX(COUNTIF(cleaned_data!$G$2:$G$261,cleaned_data!$G$2:$G$261))</f>
        <v>3</v>
      </c>
      <c r="D22" s="5" t="s">
        <v>922</v>
      </c>
      <c r="E22" s="99">
        <v>16.100000000000001</v>
      </c>
    </row>
    <row r="23" spans="1:5" x14ac:dyDescent="0.3">
      <c r="E23" s="99">
        <v>25.9</v>
      </c>
    </row>
    <row r="24" spans="1:5" x14ac:dyDescent="0.3">
      <c r="E24" s="99">
        <v>37.200000000000003</v>
      </c>
    </row>
    <row r="25" spans="1:5" ht="15.6" x14ac:dyDescent="0.3">
      <c r="A25" s="9" t="s">
        <v>924</v>
      </c>
    </row>
    <row r="26" spans="1:5" ht="35.4" customHeight="1" x14ac:dyDescent="0.3"/>
    <row r="28" spans="1:5" ht="15.6" x14ac:dyDescent="0.3">
      <c r="A28" s="83" t="s">
        <v>925</v>
      </c>
      <c r="B28" s="83"/>
    </row>
    <row r="29" spans="1:5" x14ac:dyDescent="0.3">
      <c r="A29" s="82"/>
      <c r="B29" s="82"/>
      <c r="C29" s="82"/>
    </row>
    <row r="30" spans="1:5" x14ac:dyDescent="0.3">
      <c r="A30" s="82"/>
      <c r="B30" s="82"/>
      <c r="C30" s="82"/>
    </row>
    <row r="31" spans="1:5" x14ac:dyDescent="0.3">
      <c r="A31" s="82"/>
      <c r="B31" s="82"/>
      <c r="C31" s="82"/>
    </row>
    <row r="32" spans="1:5" x14ac:dyDescent="0.3">
      <c r="A32" s="82"/>
      <c r="B32" s="82"/>
      <c r="C32" s="82"/>
    </row>
    <row r="33" spans="1:4" x14ac:dyDescent="0.3">
      <c r="A33" s="82"/>
      <c r="B33" s="82"/>
      <c r="C33" s="82"/>
    </row>
    <row r="34" spans="1:4" x14ac:dyDescent="0.3">
      <c r="A34" s="82"/>
      <c r="B34" s="82"/>
      <c r="C34" s="82"/>
    </row>
    <row r="35" spans="1:4" x14ac:dyDescent="0.3">
      <c r="A35" s="82"/>
      <c r="B35" s="82"/>
      <c r="C35" s="82"/>
    </row>
    <row r="36" spans="1:4" x14ac:dyDescent="0.3">
      <c r="A36" s="82"/>
      <c r="B36" s="82"/>
      <c r="C36" s="82"/>
    </row>
    <row r="37" spans="1:4" x14ac:dyDescent="0.3">
      <c r="A37" s="82"/>
      <c r="B37" s="82"/>
      <c r="C37" s="82"/>
    </row>
    <row r="38" spans="1:4" x14ac:dyDescent="0.3">
      <c r="A38" s="82"/>
      <c r="B38" s="82"/>
      <c r="C38" s="82"/>
    </row>
    <row r="41" spans="1:4" ht="15.6" x14ac:dyDescent="0.3">
      <c r="A41" s="83" t="s">
        <v>926</v>
      </c>
      <c r="B41" s="83"/>
    </row>
    <row r="42" spans="1:4" x14ac:dyDescent="0.3">
      <c r="A42" s="10"/>
      <c r="B42" s="10"/>
      <c r="C42" s="10"/>
      <c r="D42" s="10"/>
    </row>
    <row r="43" spans="1:4" x14ac:dyDescent="0.3">
      <c r="A43" s="10"/>
      <c r="B43" s="10"/>
      <c r="C43" s="10"/>
      <c r="D43" s="10"/>
    </row>
    <row r="44" spans="1:4" x14ac:dyDescent="0.3">
      <c r="A44" s="10"/>
      <c r="B44" s="10"/>
      <c r="C44" s="10"/>
      <c r="D44" s="10"/>
    </row>
    <row r="45" spans="1:4" x14ac:dyDescent="0.3">
      <c r="A45" s="10"/>
      <c r="B45" s="10"/>
      <c r="C45" s="10"/>
      <c r="D45" s="10"/>
    </row>
    <row r="46" spans="1:4" x14ac:dyDescent="0.3">
      <c r="A46" s="10"/>
      <c r="B46" s="10"/>
      <c r="C46" s="10"/>
      <c r="D46" s="10"/>
    </row>
    <row r="49" spans="1:2" ht="15.6" x14ac:dyDescent="0.3">
      <c r="A49" s="83" t="s">
        <v>927</v>
      </c>
      <c r="B49" s="88"/>
    </row>
    <row r="50" spans="1:2" x14ac:dyDescent="0.3">
      <c r="A50" s="82"/>
      <c r="B50" s="82"/>
    </row>
    <row r="51" spans="1:2" x14ac:dyDescent="0.3">
      <c r="A51" s="82"/>
      <c r="B51" s="82"/>
    </row>
    <row r="52" spans="1:2" x14ac:dyDescent="0.3">
      <c r="A52" s="82"/>
      <c r="B52" s="82"/>
    </row>
    <row r="53" spans="1:2" x14ac:dyDescent="0.3">
      <c r="A53" s="82"/>
      <c r="B53" s="82"/>
    </row>
    <row r="54" spans="1:2" x14ac:dyDescent="0.3">
      <c r="A54" s="82"/>
      <c r="B54" s="82"/>
    </row>
    <row r="55" spans="1:2" x14ac:dyDescent="0.3">
      <c r="A55" s="82"/>
      <c r="B55" s="82"/>
    </row>
    <row r="56" spans="1:2" x14ac:dyDescent="0.3">
      <c r="A56" s="82"/>
      <c r="B56" s="82"/>
    </row>
    <row r="57" spans="1:2" x14ac:dyDescent="0.3">
      <c r="A57" s="82"/>
      <c r="B57" s="82"/>
    </row>
    <row r="58" spans="1:2" x14ac:dyDescent="0.3">
      <c r="A58" s="82"/>
      <c r="B58" s="82"/>
    </row>
    <row r="59" spans="1:2" x14ac:dyDescent="0.3">
      <c r="A59" s="82"/>
      <c r="B59" s="82"/>
    </row>
    <row r="60" spans="1:2" x14ac:dyDescent="0.3">
      <c r="A60" s="82"/>
      <c r="B60" s="82"/>
    </row>
    <row r="61" spans="1:2" x14ac:dyDescent="0.3">
      <c r="A61" s="82"/>
      <c r="B61" s="82"/>
    </row>
    <row r="64" spans="1:2" ht="15.6" x14ac:dyDescent="0.3">
      <c r="A64" s="89" t="s">
        <v>928</v>
      </c>
      <c r="B64" s="90"/>
    </row>
    <row r="66" spans="1:6" x14ac:dyDescent="0.3">
      <c r="A66" s="17" t="s">
        <v>929</v>
      </c>
      <c r="B66" s="17" t="s">
        <v>930</v>
      </c>
      <c r="C66" s="17" t="s">
        <v>931</v>
      </c>
      <c r="D66" s="17" t="s">
        <v>932</v>
      </c>
      <c r="F66">
        <f>SUM(D67:D79)</f>
        <v>254</v>
      </c>
    </row>
    <row r="67" spans="1:6" x14ac:dyDescent="0.3">
      <c r="A67" s="13" t="s">
        <v>933</v>
      </c>
      <c r="B67" s="13">
        <v>0</v>
      </c>
      <c r="C67" s="13">
        <v>20</v>
      </c>
      <c r="D67" s="14">
        <f>COUNTIFS(cleaned_data!$G$2:$G$261,"&gt;="&amp;B67,cleaned_data!$G$2:$G$261,"&lt;"&amp;C67)</f>
        <v>63</v>
      </c>
    </row>
    <row r="68" spans="1:6" x14ac:dyDescent="0.3">
      <c r="A68" s="15" t="s">
        <v>934</v>
      </c>
      <c r="B68" s="15">
        <v>20</v>
      </c>
      <c r="C68" s="15">
        <v>40</v>
      </c>
      <c r="D68" s="16">
        <f>COUNTIFS(cleaned_data!$G$2:$G$261,"&gt;="&amp;B68,cleaned_data!$G$2:$G$261,"&lt;"&amp;C68)</f>
        <v>91</v>
      </c>
    </row>
    <row r="69" spans="1:6" x14ac:dyDescent="0.3">
      <c r="A69" s="13" t="s">
        <v>935</v>
      </c>
      <c r="B69" s="13">
        <v>40</v>
      </c>
      <c r="C69" s="13">
        <v>60</v>
      </c>
      <c r="D69" s="14">
        <f>COUNTIFS(cleaned_data!$G$2:$G$261,"&gt;="&amp;B69,cleaned_data!$G$2:$G$261,"&lt;"&amp;C69)</f>
        <v>40</v>
      </c>
    </row>
    <row r="70" spans="1:6" x14ac:dyDescent="0.3">
      <c r="A70" s="15" t="s">
        <v>936</v>
      </c>
      <c r="B70" s="15">
        <v>60</v>
      </c>
      <c r="C70" s="15">
        <v>80</v>
      </c>
      <c r="D70" s="16">
        <f>COUNTIFS(cleaned_data!$G$2:$G$261,"&gt;="&amp;B70,cleaned_data!$G$2:$G$261,"&lt;"&amp;C70)</f>
        <v>32</v>
      </c>
    </row>
    <row r="71" spans="1:6" x14ac:dyDescent="0.3">
      <c r="A71" s="13" t="s">
        <v>937</v>
      </c>
      <c r="B71" s="13">
        <v>80</v>
      </c>
      <c r="C71" s="13">
        <v>100</v>
      </c>
      <c r="D71" s="14">
        <f>COUNTIFS(cleaned_data!$G$2:$G$261,"&gt;="&amp;B71,cleaned_data!$G$2:$G$261,"&lt;"&amp;C71)</f>
        <v>8</v>
      </c>
    </row>
    <row r="72" spans="1:6" x14ac:dyDescent="0.3">
      <c r="A72" s="15" t="s">
        <v>938</v>
      </c>
      <c r="B72" s="15">
        <v>100</v>
      </c>
      <c r="C72" s="15">
        <v>120</v>
      </c>
      <c r="D72" s="16">
        <f>COUNTIFS(cleaned_data!$G$2:$G$261,"&gt;="&amp;B72,cleaned_data!$G$2:$G$261,"&lt;"&amp;C72)</f>
        <v>6</v>
      </c>
    </row>
    <row r="73" spans="1:6" x14ac:dyDescent="0.3">
      <c r="A73" s="13" t="s">
        <v>939</v>
      </c>
      <c r="B73" s="13">
        <v>120</v>
      </c>
      <c r="C73" s="13">
        <v>140</v>
      </c>
      <c r="D73" s="14">
        <f>COUNTIFS(cleaned_data!$G$2:$G$261,"&gt;="&amp;B73,cleaned_data!$G$2:$G$261,"&lt;"&amp;C73)</f>
        <v>5</v>
      </c>
    </row>
    <row r="74" spans="1:6" x14ac:dyDescent="0.3">
      <c r="A74" s="15" t="s">
        <v>940</v>
      </c>
      <c r="B74" s="15">
        <v>140</v>
      </c>
      <c r="C74" s="15">
        <v>160</v>
      </c>
      <c r="D74" s="16">
        <f>COUNTIFS(cleaned_data!$G$2:$G$261,"&gt;="&amp;B74,cleaned_data!$G$2:$G$261,"&lt;"&amp;C74)</f>
        <v>2</v>
      </c>
    </row>
    <row r="75" spans="1:6" x14ac:dyDescent="0.3">
      <c r="A75" s="13" t="s">
        <v>941</v>
      </c>
      <c r="B75" s="13">
        <v>160</v>
      </c>
      <c r="C75" s="13">
        <v>180</v>
      </c>
      <c r="D75" s="14">
        <f>COUNTIFS(cleaned_data!$G$2:$G$261,"&gt;="&amp;B75,cleaned_data!$G$2:$G$261,"&lt;"&amp;C75)</f>
        <v>1</v>
      </c>
    </row>
    <row r="76" spans="1:6" x14ac:dyDescent="0.3">
      <c r="A76" s="15" t="s">
        <v>942</v>
      </c>
      <c r="B76" s="15">
        <v>180</v>
      </c>
      <c r="C76" s="15">
        <v>200</v>
      </c>
      <c r="D76" s="16">
        <f>COUNTIFS(cleaned_data!$G$2:$G$261,"&gt;="&amp;B76,cleaned_data!$G$2:$G$261,"&lt;"&amp;C76)</f>
        <v>2</v>
      </c>
    </row>
    <row r="77" spans="1:6" x14ac:dyDescent="0.3">
      <c r="A77" s="13" t="s">
        <v>943</v>
      </c>
      <c r="B77" s="13">
        <v>200</v>
      </c>
      <c r="C77" s="13">
        <v>220</v>
      </c>
      <c r="D77" s="14">
        <f>COUNTIFS(cleaned_data!$G$2:$G$261,"&gt;="&amp;B77,cleaned_data!$G$2:$G$261,"&lt;"&amp;C77)</f>
        <v>2</v>
      </c>
    </row>
    <row r="78" spans="1:6" x14ac:dyDescent="0.3">
      <c r="A78" s="15" t="s">
        <v>944</v>
      </c>
      <c r="B78" s="15">
        <v>220</v>
      </c>
      <c r="C78" s="15">
        <v>240</v>
      </c>
      <c r="D78" s="16">
        <f>COUNTIFS(cleaned_data!$G$2:$G$261,"&gt;="&amp;B78,cleaned_data!$G$2:$G$261,"&lt;"&amp;C78)</f>
        <v>1</v>
      </c>
    </row>
    <row r="79" spans="1:6" x14ac:dyDescent="0.3">
      <c r="A79" s="13" t="s">
        <v>945</v>
      </c>
      <c r="B79" s="13">
        <v>240</v>
      </c>
      <c r="C79" s="13">
        <v>260</v>
      </c>
      <c r="D79" s="14">
        <f>COUNTIFS(cleaned_data!$G$2:$G$261,"&gt;="&amp;B79,cleaned_data!$G$2:$G$261,"&lt;"&amp;C79)</f>
        <v>1</v>
      </c>
    </row>
    <row r="81" spans="1:2" ht="14.4" customHeight="1" x14ac:dyDescent="0.3"/>
    <row r="82" spans="1:2" ht="14.4" customHeight="1" x14ac:dyDescent="0.3"/>
    <row r="83" spans="1:2" ht="14.4" customHeight="1" x14ac:dyDescent="0.3"/>
    <row r="84" spans="1:2" ht="14.4" customHeight="1" x14ac:dyDescent="0.3"/>
    <row r="85" spans="1:2" ht="53.4" customHeight="1" x14ac:dyDescent="0.3"/>
    <row r="86" spans="1:2" ht="14.4" customHeight="1" x14ac:dyDescent="0.3"/>
    <row r="87" spans="1:2" ht="14.4" customHeight="1" x14ac:dyDescent="0.3"/>
    <row r="88" spans="1:2" ht="14.4" customHeight="1" x14ac:dyDescent="0.3">
      <c r="A88" s="19" t="s">
        <v>946</v>
      </c>
    </row>
    <row r="89" spans="1:2" ht="14.4" customHeight="1" x14ac:dyDescent="0.35">
      <c r="A89" s="18"/>
      <c r="B89" s="18"/>
    </row>
    <row r="90" spans="1:2" ht="14.4" customHeight="1" x14ac:dyDescent="0.35">
      <c r="A90" s="18"/>
      <c r="B90" s="18"/>
    </row>
    <row r="91" spans="1:2" ht="14.4" customHeight="1" x14ac:dyDescent="0.35">
      <c r="A91" s="18"/>
      <c r="B91" s="18"/>
    </row>
    <row r="92" spans="1:2" ht="14.4" customHeight="1" x14ac:dyDescent="0.35">
      <c r="A92" s="18"/>
      <c r="B92" s="18"/>
    </row>
    <row r="95" spans="1:2" ht="18" x14ac:dyDescent="0.35">
      <c r="A95" s="20" t="s">
        <v>947</v>
      </c>
    </row>
    <row r="96" spans="1:2" x14ac:dyDescent="0.3">
      <c r="A96" s="82"/>
      <c r="B96" s="82"/>
    </row>
    <row r="97" spans="1:9" x14ac:dyDescent="0.3">
      <c r="A97" s="82"/>
      <c r="B97" s="82"/>
    </row>
    <row r="98" spans="1:9" x14ac:dyDescent="0.3">
      <c r="A98" s="82"/>
      <c r="B98" s="82"/>
    </row>
    <row r="99" spans="1:9" x14ac:dyDescent="0.3">
      <c r="A99" s="82"/>
      <c r="B99" s="82"/>
    </row>
    <row r="100" spans="1:9" x14ac:dyDescent="0.3">
      <c r="A100" s="82"/>
      <c r="B100" s="82"/>
    </row>
    <row r="101" spans="1:9" x14ac:dyDescent="0.3">
      <c r="A101" s="82"/>
      <c r="B101" s="82"/>
    </row>
    <row r="102" spans="1:9" x14ac:dyDescent="0.3">
      <c r="A102" s="82"/>
      <c r="B102" s="82"/>
    </row>
    <row r="103" spans="1:9" x14ac:dyDescent="0.3">
      <c r="A103" s="82"/>
      <c r="B103" s="82"/>
    </row>
    <row r="104" spans="1:9" x14ac:dyDescent="0.3">
      <c r="A104" s="82"/>
      <c r="B104" s="82"/>
    </row>
    <row r="105" spans="1:9" x14ac:dyDescent="0.3">
      <c r="A105" s="82"/>
      <c r="B105" s="82"/>
    </row>
    <row r="106" spans="1:9" x14ac:dyDescent="0.3">
      <c r="A106" s="82"/>
      <c r="B106" s="82"/>
    </row>
    <row r="107" spans="1:9" x14ac:dyDescent="0.3">
      <c r="A107" s="82"/>
      <c r="B107" s="82"/>
    </row>
    <row r="108" spans="1:9" x14ac:dyDescent="0.3">
      <c r="A108" s="82"/>
      <c r="B108" s="82"/>
    </row>
    <row r="111" spans="1:9" ht="16.8" x14ac:dyDescent="0.3">
      <c r="A111" s="92" t="s">
        <v>956</v>
      </c>
      <c r="B111" s="92"/>
      <c r="C111" s="22"/>
      <c r="D111" s="29"/>
      <c r="E111" s="22"/>
      <c r="F111" s="22"/>
      <c r="G111" s="22"/>
      <c r="H111" s="22"/>
    </row>
    <row r="112" spans="1:9" x14ac:dyDescent="0.3">
      <c r="A112" s="28" t="s">
        <v>948</v>
      </c>
      <c r="B112" s="28" t="s">
        <v>949</v>
      </c>
      <c r="C112" s="28" t="s">
        <v>950</v>
      </c>
      <c r="D112" s="28" t="s">
        <v>951</v>
      </c>
      <c r="E112" s="12"/>
      <c r="F112" s="12"/>
      <c r="G112" s="12"/>
      <c r="H112" s="12"/>
      <c r="I112" s="12"/>
    </row>
    <row r="113" spans="1:9" ht="46.8" customHeight="1" x14ac:dyDescent="0.3">
      <c r="A113" s="24" t="s">
        <v>898</v>
      </c>
      <c r="B113" s="25">
        <f>C6</f>
        <v>45.29842519685036</v>
      </c>
      <c r="C113" s="21" t="s">
        <v>957</v>
      </c>
      <c r="D113" s="21" t="s">
        <v>952</v>
      </c>
      <c r="E113" s="12"/>
      <c r="F113" s="12"/>
      <c r="G113" s="12"/>
      <c r="H113" s="12"/>
      <c r="I113" s="23"/>
    </row>
    <row r="114" spans="1:9" ht="28.8" customHeight="1" x14ac:dyDescent="0.3">
      <c r="A114" s="24" t="s">
        <v>899</v>
      </c>
      <c r="B114" s="25">
        <f>C7</f>
        <v>33.049999999999997</v>
      </c>
      <c r="C114" s="21" t="s">
        <v>953</v>
      </c>
      <c r="D114" s="21" t="s">
        <v>958</v>
      </c>
      <c r="E114" s="12"/>
      <c r="F114" s="12"/>
      <c r="G114" s="12"/>
      <c r="H114" s="12"/>
    </row>
    <row r="115" spans="1:9" ht="37.799999999999997" customHeight="1" x14ac:dyDescent="0.3">
      <c r="A115" s="24" t="s">
        <v>903</v>
      </c>
      <c r="B115" s="25">
        <f>C8</f>
        <v>37.200000000000003</v>
      </c>
      <c r="C115" s="21" t="s">
        <v>954</v>
      </c>
      <c r="D115" s="21" t="s">
        <v>955</v>
      </c>
      <c r="E115" s="12"/>
      <c r="F115" s="12"/>
      <c r="G115" s="12"/>
      <c r="H115" s="12"/>
    </row>
    <row r="116" spans="1:9" x14ac:dyDescent="0.3">
      <c r="A116" s="12"/>
      <c r="B116" s="12"/>
      <c r="C116" s="12"/>
      <c r="D116" s="12"/>
      <c r="E116" s="12"/>
      <c r="F116" s="12"/>
      <c r="G116" s="12"/>
      <c r="H116" s="12"/>
    </row>
    <row r="117" spans="1:9" ht="15.6" x14ac:dyDescent="0.3">
      <c r="A117" s="93" t="s">
        <v>959</v>
      </c>
      <c r="B117" s="93"/>
      <c r="C117" s="93"/>
    </row>
    <row r="118" spans="1:9" x14ac:dyDescent="0.3">
      <c r="A118" s="82"/>
      <c r="B118" s="82"/>
      <c r="C118" s="82"/>
    </row>
    <row r="119" spans="1:9" x14ac:dyDescent="0.3">
      <c r="A119" s="82"/>
      <c r="B119" s="82"/>
      <c r="C119" s="82"/>
    </row>
    <row r="120" spans="1:9" x14ac:dyDescent="0.3">
      <c r="A120" s="82"/>
      <c r="B120" s="82"/>
      <c r="C120" s="82"/>
    </row>
    <row r="121" spans="1:9" x14ac:dyDescent="0.3">
      <c r="A121" s="82"/>
      <c r="B121" s="82"/>
      <c r="C121" s="82"/>
    </row>
    <row r="122" spans="1:9" x14ac:dyDescent="0.3">
      <c r="A122" s="82"/>
      <c r="B122" s="82"/>
      <c r="C122" s="82"/>
    </row>
    <row r="123" spans="1:9" x14ac:dyDescent="0.3">
      <c r="A123" s="82"/>
      <c r="B123" s="82"/>
      <c r="C123" s="82"/>
    </row>
    <row r="124" spans="1:9" x14ac:dyDescent="0.3">
      <c r="A124" s="82"/>
      <c r="B124" s="82"/>
      <c r="C124" s="82"/>
    </row>
    <row r="125" spans="1:9" x14ac:dyDescent="0.3">
      <c r="A125" s="82"/>
      <c r="B125" s="82"/>
      <c r="C125" s="82"/>
    </row>
    <row r="126" spans="1:9" x14ac:dyDescent="0.3">
      <c r="A126" s="82"/>
      <c r="B126" s="82"/>
      <c r="C126" s="82"/>
    </row>
    <row r="127" spans="1:9" x14ac:dyDescent="0.3">
      <c r="A127" s="82"/>
      <c r="B127" s="82"/>
      <c r="C127" s="82"/>
    </row>
    <row r="128" spans="1:9" x14ac:dyDescent="0.3">
      <c r="A128" s="82"/>
      <c r="B128" s="82"/>
      <c r="C128" s="82"/>
    </row>
    <row r="129" spans="1:9" x14ac:dyDescent="0.3">
      <c r="A129" s="82"/>
      <c r="B129" s="82"/>
      <c r="C129" s="82"/>
    </row>
    <row r="130" spans="1:9" x14ac:dyDescent="0.3">
      <c r="A130" s="82"/>
      <c r="B130" s="82"/>
      <c r="C130" s="82"/>
    </row>
    <row r="135" spans="1:9" ht="15.6" x14ac:dyDescent="0.3">
      <c r="A135" s="93" t="s">
        <v>960</v>
      </c>
      <c r="B135" s="93"/>
      <c r="C135" s="93"/>
      <c r="D135" s="93"/>
      <c r="E135" s="93"/>
      <c r="F135" s="93"/>
      <c r="G135" s="93"/>
      <c r="H135" s="93"/>
      <c r="I135" s="93"/>
    </row>
    <row r="136" spans="1:9" x14ac:dyDescent="0.3">
      <c r="A136" s="72"/>
      <c r="B136" s="73"/>
      <c r="C136" s="73"/>
    </row>
    <row r="137" spans="1:9" x14ac:dyDescent="0.3">
      <c r="A137" s="73"/>
      <c r="B137" s="73"/>
      <c r="C137" s="73"/>
    </row>
    <row r="138" spans="1:9" x14ac:dyDescent="0.3">
      <c r="A138" s="73"/>
      <c r="B138" s="73"/>
      <c r="C138" s="73"/>
    </row>
    <row r="139" spans="1:9" x14ac:dyDescent="0.3">
      <c r="A139" s="73"/>
      <c r="B139" s="73"/>
      <c r="C139" s="73"/>
    </row>
    <row r="140" spans="1:9" x14ac:dyDescent="0.3">
      <c r="A140" s="73"/>
      <c r="B140" s="73"/>
      <c r="C140" s="73"/>
    </row>
    <row r="141" spans="1:9" x14ac:dyDescent="0.3">
      <c r="A141" s="73"/>
      <c r="B141" s="73"/>
      <c r="C141" s="73"/>
    </row>
    <row r="142" spans="1:9" x14ac:dyDescent="0.3">
      <c r="A142" s="73"/>
      <c r="B142" s="73"/>
      <c r="C142" s="73"/>
    </row>
    <row r="143" spans="1:9" x14ac:dyDescent="0.3">
      <c r="A143" s="73"/>
      <c r="B143" s="73"/>
      <c r="C143" s="73"/>
    </row>
    <row r="145" spans="1:7" x14ac:dyDescent="0.3">
      <c r="G145" s="31" t="s">
        <v>903</v>
      </c>
    </row>
    <row r="146" spans="1:7" ht="15.6" x14ac:dyDescent="0.3">
      <c r="A146" s="91" t="s">
        <v>961</v>
      </c>
      <c r="B146" s="91"/>
      <c r="C146" s="91"/>
      <c r="D146" s="91"/>
      <c r="G146" cm="1">
        <f t="array" ref="G146:G148">_xlfn.MODE.MULT(cleaned_data!G2:G261)</f>
        <v>37.200000000000003</v>
      </c>
    </row>
    <row r="147" spans="1:7" x14ac:dyDescent="0.3">
      <c r="A147" s="72"/>
      <c r="B147" s="73"/>
      <c r="C147" s="73"/>
      <c r="G147">
        <v>16.100000000000001</v>
      </c>
    </row>
    <row r="148" spans="1:7" x14ac:dyDescent="0.3">
      <c r="A148" s="73"/>
      <c r="B148" s="73"/>
      <c r="C148" s="73"/>
      <c r="G148">
        <v>25.9</v>
      </c>
    </row>
    <row r="149" spans="1:7" x14ac:dyDescent="0.3">
      <c r="A149" s="73"/>
      <c r="B149" s="73"/>
      <c r="C149" s="73"/>
    </row>
    <row r="150" spans="1:7" x14ac:dyDescent="0.3">
      <c r="A150" s="73"/>
      <c r="B150" s="73"/>
      <c r="C150" s="73"/>
    </row>
    <row r="151" spans="1:7" x14ac:dyDescent="0.3">
      <c r="A151" s="73"/>
      <c r="B151" s="73"/>
      <c r="C151" s="73"/>
    </row>
    <row r="152" spans="1:7" x14ac:dyDescent="0.3">
      <c r="A152" s="73"/>
      <c r="B152" s="73"/>
      <c r="C152" s="73"/>
    </row>
    <row r="153" spans="1:7" x14ac:dyDescent="0.3">
      <c r="A153" s="73"/>
      <c r="B153" s="73"/>
      <c r="C153" s="73"/>
    </row>
    <row r="154" spans="1:7" x14ac:dyDescent="0.3">
      <c r="A154" s="73"/>
      <c r="B154" s="73"/>
      <c r="C154" s="73"/>
    </row>
    <row r="155" spans="1:7" x14ac:dyDescent="0.3">
      <c r="A155" s="73"/>
      <c r="B155" s="73"/>
      <c r="C155" s="73"/>
    </row>
    <row r="156" spans="1:7" x14ac:dyDescent="0.3">
      <c r="A156" s="73"/>
      <c r="B156" s="73"/>
      <c r="C156" s="73"/>
    </row>
    <row r="157" spans="1:7" x14ac:dyDescent="0.3">
      <c r="A157" s="73"/>
      <c r="B157" s="73"/>
      <c r="C157" s="73"/>
    </row>
    <row r="163" spans="1:4" ht="15.6" x14ac:dyDescent="0.3">
      <c r="A163" s="78" t="s">
        <v>962</v>
      </c>
      <c r="B163" s="78"/>
      <c r="C163" s="78"/>
    </row>
    <row r="165" spans="1:4" x14ac:dyDescent="0.3">
      <c r="A165" s="36" t="s">
        <v>963</v>
      </c>
      <c r="B165" s="36" t="s">
        <v>964</v>
      </c>
      <c r="C165" s="36" t="s">
        <v>965</v>
      </c>
      <c r="D165" s="32"/>
    </row>
    <row r="166" spans="1:4" x14ac:dyDescent="0.3">
      <c r="A166" s="33" t="s">
        <v>966</v>
      </c>
      <c r="B166" s="34">
        <f>C12</f>
        <v>39.57732209722716</v>
      </c>
      <c r="C166" s="76" t="s">
        <v>967</v>
      </c>
      <c r="D166" s="77"/>
    </row>
    <row r="167" spans="1:4" x14ac:dyDescent="0.3">
      <c r="A167" s="33" t="s">
        <v>968</v>
      </c>
      <c r="B167" s="34">
        <f>C13</f>
        <v>20.375</v>
      </c>
      <c r="C167" s="76" t="s">
        <v>969</v>
      </c>
      <c r="D167" s="77"/>
    </row>
    <row r="168" spans="1:4" x14ac:dyDescent="0.3">
      <c r="A168" s="33" t="s">
        <v>970</v>
      </c>
      <c r="B168" s="34">
        <f>C14</f>
        <v>58.35</v>
      </c>
      <c r="C168" s="76" t="s">
        <v>971</v>
      </c>
      <c r="D168" s="77"/>
    </row>
    <row r="169" spans="1:4" x14ac:dyDescent="0.3">
      <c r="A169" s="33" t="s">
        <v>916</v>
      </c>
      <c r="B169" s="34">
        <f>C15</f>
        <v>37.975000000000001</v>
      </c>
      <c r="C169" s="76" t="s">
        <v>972</v>
      </c>
      <c r="D169" s="77"/>
    </row>
    <row r="170" spans="1:4" x14ac:dyDescent="0.3">
      <c r="A170" s="33" t="s">
        <v>973</v>
      </c>
      <c r="B170" s="35">
        <f>($C$12/$C$6)*100</f>
        <v>87.370194273285705</v>
      </c>
      <c r="C170" s="76" t="s">
        <v>974</v>
      </c>
      <c r="D170" s="77"/>
    </row>
    <row r="171" spans="1:4" x14ac:dyDescent="0.3">
      <c r="A171" s="33" t="s">
        <v>975</v>
      </c>
      <c r="B171" s="34">
        <f>AVERAGE(cleaned_data!$O$2:$O$261)</f>
        <v>79.407539682539678</v>
      </c>
      <c r="C171" s="76" t="s">
        <v>976</v>
      </c>
      <c r="D171" s="77"/>
    </row>
    <row r="172" spans="1:4" x14ac:dyDescent="0.3">
      <c r="A172" s="33" t="s">
        <v>977</v>
      </c>
      <c r="B172" s="34">
        <f>STDEV(cleaned_data!$O$2:$O$261)</f>
        <v>9.8193312214158865</v>
      </c>
      <c r="C172" s="76" t="s">
        <v>976</v>
      </c>
      <c r="D172" s="77"/>
    </row>
    <row r="173" spans="1:4" x14ac:dyDescent="0.3">
      <c r="A173" s="33" t="s">
        <v>978</v>
      </c>
      <c r="B173" s="35">
        <f>($B$172/$B$171)*100</f>
        <v>12.36574166719207</v>
      </c>
      <c r="C173" s="76" t="s">
        <v>979</v>
      </c>
      <c r="D173" s="77"/>
    </row>
    <row r="176" spans="1:4" ht="15.6" x14ac:dyDescent="0.3">
      <c r="A176" s="78" t="s">
        <v>980</v>
      </c>
      <c r="B176" s="78"/>
      <c r="C176" s="78"/>
    </row>
    <row r="177" spans="1:3" x14ac:dyDescent="0.3">
      <c r="A177" s="79"/>
      <c r="B177" s="79"/>
      <c r="C177" s="79"/>
    </row>
    <row r="178" spans="1:3" x14ac:dyDescent="0.3">
      <c r="A178" s="79"/>
      <c r="B178" s="79"/>
      <c r="C178" s="79"/>
    </row>
    <row r="179" spans="1:3" x14ac:dyDescent="0.3">
      <c r="A179" s="79"/>
      <c r="B179" s="79"/>
      <c r="C179" s="79"/>
    </row>
    <row r="180" spans="1:3" x14ac:dyDescent="0.3">
      <c r="A180" s="79"/>
      <c r="B180" s="79"/>
      <c r="C180" s="79"/>
    </row>
    <row r="181" spans="1:3" x14ac:dyDescent="0.3">
      <c r="A181" s="79"/>
      <c r="B181" s="79"/>
      <c r="C181" s="79"/>
    </row>
    <row r="182" spans="1:3" x14ac:dyDescent="0.3">
      <c r="A182" s="79"/>
      <c r="B182" s="79"/>
      <c r="C182" s="79"/>
    </row>
    <row r="184" spans="1:3" ht="15.6" x14ac:dyDescent="0.3">
      <c r="A184" s="78" t="s">
        <v>981</v>
      </c>
      <c r="B184" s="78"/>
      <c r="C184" s="78"/>
    </row>
    <row r="185" spans="1:3" x14ac:dyDescent="0.3">
      <c r="A185" s="72"/>
      <c r="B185" s="73"/>
      <c r="C185" s="73"/>
    </row>
    <row r="186" spans="1:3" x14ac:dyDescent="0.3">
      <c r="A186" s="73"/>
      <c r="B186" s="73"/>
      <c r="C186" s="73"/>
    </row>
    <row r="187" spans="1:3" x14ac:dyDescent="0.3">
      <c r="A187" s="73"/>
      <c r="B187" s="73"/>
      <c r="C187" s="73"/>
    </row>
    <row r="188" spans="1:3" x14ac:dyDescent="0.3">
      <c r="A188" s="73"/>
      <c r="B188" s="73"/>
      <c r="C188" s="73"/>
    </row>
    <row r="189" spans="1:3" x14ac:dyDescent="0.3">
      <c r="A189" s="73"/>
      <c r="B189" s="73"/>
      <c r="C189" s="73"/>
    </row>
    <row r="190" spans="1:3" x14ac:dyDescent="0.3">
      <c r="A190" s="73"/>
      <c r="B190" s="73"/>
      <c r="C190" s="73"/>
    </row>
    <row r="198" spans="1:8" ht="15.6" x14ac:dyDescent="0.3">
      <c r="A198" s="68" t="s">
        <v>982</v>
      </c>
      <c r="B198" s="68"/>
      <c r="C198" s="68"/>
      <c r="D198" s="68"/>
      <c r="E198" s="68"/>
      <c r="F198" s="68"/>
      <c r="G198" s="68"/>
      <c r="H198" s="68"/>
    </row>
    <row r="199" spans="1:8" x14ac:dyDescent="0.3">
      <c r="A199" s="37" t="s">
        <v>983</v>
      </c>
      <c r="B199" s="38">
        <f>$C$13-1.5*$C$15</f>
        <v>-36.587500000000006</v>
      </c>
      <c r="C199" s="74" t="s">
        <v>902</v>
      </c>
      <c r="D199" s="75"/>
      <c r="E199" s="12"/>
      <c r="F199" s="12"/>
      <c r="G199" s="12"/>
      <c r="H199" s="12"/>
    </row>
    <row r="200" spans="1:8" x14ac:dyDescent="0.3">
      <c r="A200" s="37" t="s">
        <v>984</v>
      </c>
      <c r="B200" s="38">
        <f>$C$14+1.5*$C$15</f>
        <v>115.3125</v>
      </c>
      <c r="C200" s="74" t="s">
        <v>902</v>
      </c>
      <c r="D200" s="75"/>
      <c r="E200" s="12"/>
      <c r="F200" s="12"/>
      <c r="G200" s="12"/>
      <c r="H200" s="12"/>
    </row>
    <row r="201" spans="1:8" x14ac:dyDescent="0.3">
      <c r="A201" s="37" t="s">
        <v>985</v>
      </c>
      <c r="B201" s="40">
        <f>COUNTIFS(cleaned_data!$G$2:$G$261,"&lt;"&amp;$B$199)+COUNTIFS(cleaned_data!$G$2:$G$261,"&gt;"&amp;$B$200)</f>
        <v>15</v>
      </c>
      <c r="C201" s="74" t="s">
        <v>986</v>
      </c>
      <c r="D201" s="75"/>
      <c r="E201" s="12"/>
      <c r="F201" s="12"/>
      <c r="G201" s="12"/>
      <c r="H201" s="12"/>
    </row>
    <row r="202" spans="1:8" x14ac:dyDescent="0.3">
      <c r="B202" s="100">
        <f>B201/C5*100</f>
        <v>5.9055118110236222</v>
      </c>
    </row>
    <row r="204" spans="1:8" ht="15.6" x14ac:dyDescent="0.3">
      <c r="A204" s="68" t="s">
        <v>987</v>
      </c>
      <c r="B204" s="68"/>
      <c r="C204" s="68"/>
      <c r="D204" s="68"/>
      <c r="E204" s="68"/>
      <c r="F204" s="68"/>
      <c r="G204" s="68"/>
      <c r="H204" s="68"/>
    </row>
    <row r="205" spans="1:8" x14ac:dyDescent="0.3">
      <c r="A205" s="43" t="s">
        <v>988</v>
      </c>
      <c r="B205" s="43" t="s">
        <v>989</v>
      </c>
      <c r="C205" s="43" t="s">
        <v>990</v>
      </c>
      <c r="D205" s="43" t="s">
        <v>991</v>
      </c>
      <c r="E205" s="12"/>
      <c r="F205" s="12"/>
      <c r="G205" s="12"/>
      <c r="H205" s="12"/>
    </row>
    <row r="206" spans="1:8" x14ac:dyDescent="0.3">
      <c r="A206" s="13">
        <v>1</v>
      </c>
      <c r="B206" s="42" cm="1">
        <f t="array" ref="B206">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206)),"")</f>
        <v>116.1</v>
      </c>
      <c r="C206" s="13" t="str">
        <f>IFERROR(INDEX(cleaned_data!$A$2:$A$261,MATCH(B206,cleaned_data!$G$2:$G$261,0)),"")</f>
        <v>ITI-1217</v>
      </c>
      <c r="D206" s="13" t="str">
        <f>IFERROR(_xlfn.XLOOKUP(C206,cleaned_data!$A$2:$A$261,cleaned_data!$B$2:$B$261),"")</f>
        <v>Cairo</v>
      </c>
      <c r="E206" s="12"/>
      <c r="F206" s="12"/>
      <c r="G206" s="12"/>
      <c r="H206" s="12"/>
    </row>
    <row r="207" spans="1:8" x14ac:dyDescent="0.3">
      <c r="A207" s="13">
        <v>2</v>
      </c>
      <c r="B207" s="42" cm="1">
        <f t="array" ref="B207">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207)),"")</f>
        <v>120.2</v>
      </c>
      <c r="C207" s="13" t="str">
        <f>IFERROR(INDEX(cleaned_data!$A$2:$A$261,MATCH(B207,cleaned_data!$G$2:$G$261,0)),"")</f>
        <v>ITI-1113</v>
      </c>
      <c r="D207" s="13" t="str">
        <f>IFERROR(_xlfn.XLOOKUP(C207,cleaned_data!$A$2:$A$261,cleaned_data!$B$2:$B$261),"")</f>
        <v>Cairo</v>
      </c>
      <c r="E207" s="12"/>
      <c r="F207" s="12"/>
      <c r="G207" s="12"/>
      <c r="H207" s="12"/>
    </row>
    <row r="208" spans="1:8" x14ac:dyDescent="0.3">
      <c r="A208" s="13">
        <v>3</v>
      </c>
      <c r="B208" s="42" cm="1">
        <f t="array" ref="B208">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208)),"")</f>
        <v>121.4</v>
      </c>
      <c r="C208" s="13" t="str">
        <f>IFERROR(INDEX(cleaned_data!$A$2:$A$261,MATCH(B208,cleaned_data!$G$2:$G$261,0)),"")</f>
        <v>ITI-1104</v>
      </c>
      <c r="D208" s="13" t="str">
        <f>IFERROR(_xlfn.XLOOKUP(C208,cleaned_data!$A$2:$A$261,cleaned_data!$B$2:$B$261),"")</f>
        <v>Cairo</v>
      </c>
      <c r="E208" s="12"/>
      <c r="F208" s="12"/>
      <c r="G208" s="12"/>
      <c r="H208" s="12"/>
    </row>
    <row r="209" spans="1:8" x14ac:dyDescent="0.3">
      <c r="A209" s="13">
        <v>4</v>
      </c>
      <c r="B209" s="42" cm="1">
        <f t="array" ref="B209">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209)),"")</f>
        <v>126.7</v>
      </c>
      <c r="C209" s="13" t="str">
        <f>IFERROR(INDEX(cleaned_data!$A$2:$A$261,MATCH(B209,cleaned_data!$G$2:$G$261,0)),"")</f>
        <v>ITI-1231</v>
      </c>
      <c r="D209" s="13" t="str">
        <f>IFERROR(_xlfn.XLOOKUP(C209,cleaned_data!$A$2:$A$261,cleaned_data!$B$2:$B$261),"")</f>
        <v>Cairo</v>
      </c>
      <c r="E209" s="12"/>
      <c r="F209" s="12"/>
      <c r="G209" s="12"/>
      <c r="H209" s="12"/>
    </row>
    <row r="210" spans="1:8" x14ac:dyDescent="0.3">
      <c r="A210" s="13">
        <v>5</v>
      </c>
      <c r="B210" s="42" cm="1">
        <f t="array" ref="B210">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210)),"")</f>
        <v>132</v>
      </c>
      <c r="C210" s="13" t="str">
        <f>IFERROR(INDEX(cleaned_data!$A$2:$A$261,MATCH(B210,cleaned_data!$G$2:$G$261,0)),"")</f>
        <v>ITI-1173</v>
      </c>
      <c r="D210" s="13" t="str">
        <f>IFERROR(_xlfn.XLOOKUP(C210,cleaned_data!$A$2:$A$261,cleaned_data!$B$2:$B$261),"")</f>
        <v>Cairo</v>
      </c>
      <c r="E210" s="12"/>
      <c r="F210" s="12"/>
      <c r="G210" s="12"/>
      <c r="H210" s="12"/>
    </row>
    <row r="211" spans="1:8" x14ac:dyDescent="0.3">
      <c r="A211" s="13">
        <v>6</v>
      </c>
      <c r="B211" s="42" cm="1">
        <f t="array" ref="B211">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211)),"")</f>
        <v>133.69999999999999</v>
      </c>
      <c r="C211" s="13" t="str">
        <f>IFERROR(INDEX(cleaned_data!$A$2:$A$261,MATCH(B211,cleaned_data!$G$2:$G$261,0)),"")</f>
        <v>ITI-1020</v>
      </c>
      <c r="D211" s="13" t="str">
        <f>IFERROR(_xlfn.XLOOKUP(C211,cleaned_data!$A$2:$A$261,cleaned_data!$B$2:$B$261),"")</f>
        <v>Cairo</v>
      </c>
      <c r="E211" s="12"/>
      <c r="F211" s="12"/>
      <c r="G211" s="12"/>
      <c r="H211" s="12"/>
    </row>
    <row r="212" spans="1:8" x14ac:dyDescent="0.3">
      <c r="A212" s="13">
        <v>7</v>
      </c>
      <c r="B212" s="42" cm="1">
        <f t="array" ref="B212">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212)),"")</f>
        <v>142.30000000000001</v>
      </c>
      <c r="C212" s="13" t="str">
        <f>IFERROR(INDEX(cleaned_data!$A$2:$A$261,MATCH(B212,cleaned_data!$G$2:$G$261,0)),"")</f>
        <v>ITI-1049</v>
      </c>
      <c r="D212" s="13" t="str">
        <f>IFERROR(_xlfn.XLOOKUP(C212,cleaned_data!$A$2:$A$261,cleaned_data!$B$2:$B$261),"")</f>
        <v>Cairo</v>
      </c>
      <c r="E212" s="12"/>
      <c r="F212" s="12"/>
      <c r="G212" s="12"/>
      <c r="H212" s="12"/>
    </row>
    <row r="213" spans="1:8" x14ac:dyDescent="0.3">
      <c r="A213" s="13">
        <v>8</v>
      </c>
      <c r="B213" s="42" cm="1">
        <f t="array" ref="B213">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213)),"")</f>
        <v>154</v>
      </c>
      <c r="C213" s="13" t="str">
        <f>IFERROR(INDEX(cleaned_data!$A$2:$A$261,MATCH(B213,cleaned_data!$G$2:$G$261,0)),"")</f>
        <v>ITI-1151</v>
      </c>
      <c r="D213" s="13" t="str">
        <f>IFERROR(_xlfn.XLOOKUP(C213,cleaned_data!$A$2:$A$261,cleaned_data!$B$2:$B$261),"")</f>
        <v>Cairo</v>
      </c>
      <c r="E213" s="12"/>
      <c r="F213" s="12"/>
      <c r="G213" s="12"/>
      <c r="H213" s="12"/>
    </row>
    <row r="214" spans="1:8" x14ac:dyDescent="0.3">
      <c r="A214" s="13">
        <v>9</v>
      </c>
      <c r="B214" s="42" cm="1">
        <f t="array" ref="B214">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214)),"")</f>
        <v>176</v>
      </c>
      <c r="C214" s="13" t="str">
        <f>IFERROR(INDEX(cleaned_data!$A$2:$A$261,MATCH(B214,cleaned_data!$G$2:$G$261,0)),"")</f>
        <v>ITI-1148</v>
      </c>
      <c r="D214" s="13" t="str">
        <f>IFERROR(_xlfn.XLOOKUP(C214,cleaned_data!$A$2:$A$261,cleaned_data!$B$2:$B$261),"")</f>
        <v>Cairo</v>
      </c>
      <c r="E214" s="12"/>
      <c r="F214" s="12"/>
      <c r="G214" s="12"/>
      <c r="H214" s="12"/>
    </row>
    <row r="215" spans="1:8" x14ac:dyDescent="0.3">
      <c r="A215" s="13">
        <v>10</v>
      </c>
      <c r="B215" s="42" cm="1">
        <f t="array" ref="B215">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215)),"")</f>
        <v>190.2</v>
      </c>
      <c r="C215" s="13" t="str">
        <f>IFERROR(INDEX(cleaned_data!$A$2:$A$261,MATCH(B215,cleaned_data!$G$2:$G$261,0)),"")</f>
        <v>ITI-1063</v>
      </c>
      <c r="D215" s="13" t="str">
        <f>IFERROR(_xlfn.XLOOKUP(C215,cleaned_data!$A$2:$A$261,cleaned_data!$B$2:$B$261),"")</f>
        <v>Mansoura</v>
      </c>
      <c r="E215" s="12"/>
      <c r="F215" s="12"/>
      <c r="G215" s="12"/>
      <c r="H215" s="12"/>
    </row>
    <row r="216" spans="1:8" x14ac:dyDescent="0.3">
      <c r="A216" s="13">
        <v>11</v>
      </c>
      <c r="B216" s="42" cm="1">
        <f t="array" ref="B216">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216)),"")</f>
        <v>191.9</v>
      </c>
      <c r="C216" s="13" t="str">
        <f>IFERROR(INDEX(cleaned_data!$A$2:$A$261,MATCH(B216,cleaned_data!$G$2:$G$261,0)),"")</f>
        <v>ITI-1132</v>
      </c>
      <c r="D216" s="13" t="str">
        <f>IFERROR(_xlfn.XLOOKUP(C216,cleaned_data!$A$2:$A$261,cleaned_data!$B$2:$B$261),"")</f>
        <v>Cairo</v>
      </c>
      <c r="E216" s="12"/>
      <c r="F216" s="12"/>
      <c r="G216" s="12"/>
      <c r="H216" s="12"/>
    </row>
    <row r="217" spans="1:8" x14ac:dyDescent="0.3">
      <c r="A217" s="13">
        <v>12</v>
      </c>
      <c r="B217" s="42" cm="1">
        <f t="array" ref="B217">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217)),"")</f>
        <v>200</v>
      </c>
      <c r="C217" s="13" t="str">
        <f>IFERROR(INDEX(cleaned_data!$A$2:$A$261,MATCH(B217,cleaned_data!$G$2:$G$261,0)),"")</f>
        <v>ITI-1086</v>
      </c>
      <c r="D217" s="13" t="str">
        <f>IFERROR(_xlfn.XLOOKUP(C217,cleaned_data!$A$2:$A$261,cleaned_data!$B$2:$B$261),"")</f>
        <v>Cairo</v>
      </c>
      <c r="E217" s="12"/>
      <c r="F217" s="12"/>
      <c r="G217" s="12"/>
      <c r="H217" s="12"/>
    </row>
    <row r="218" spans="1:8" x14ac:dyDescent="0.3">
      <c r="A218" s="13">
        <v>13</v>
      </c>
      <c r="B218" s="42" cm="1">
        <f t="array" ref="B218">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218)),"")</f>
        <v>209.8</v>
      </c>
      <c r="C218" s="13" t="str">
        <f>IFERROR(INDEX(cleaned_data!$A$2:$A$261,MATCH(B218,cleaned_data!$G$2:$G$261,0)),"")</f>
        <v>ITI-1071</v>
      </c>
      <c r="D218" s="13" t="str">
        <f>IFERROR(_xlfn.XLOOKUP(C218,cleaned_data!$A$2:$A$261,cleaned_data!$B$2:$B$261),"")</f>
        <v>Menoufia</v>
      </c>
      <c r="E218" s="12"/>
      <c r="F218" s="12"/>
      <c r="G218" s="12"/>
      <c r="H218" s="12"/>
    </row>
    <row r="219" spans="1:8" x14ac:dyDescent="0.3">
      <c r="A219" s="13">
        <v>14</v>
      </c>
      <c r="B219" s="42" cm="1">
        <f t="array" ref="B219">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219)),"")</f>
        <v>238.9</v>
      </c>
      <c r="C219" s="13" t="str">
        <f>IFERROR(INDEX(cleaned_data!$A$2:$A$261,MATCH(B219,cleaned_data!$G$2:$G$261,0)),"")</f>
        <v>ITI-1199</v>
      </c>
      <c r="D219" s="13" t="str">
        <f>IFERROR(_xlfn.XLOOKUP(C219,cleaned_data!$A$2:$A$261,cleaned_data!$B$2:$B$261),"")</f>
        <v>Alexandria</v>
      </c>
      <c r="E219" s="12"/>
      <c r="F219" s="12"/>
      <c r="G219" s="12"/>
      <c r="H219" s="12"/>
    </row>
    <row r="220" spans="1:8" x14ac:dyDescent="0.3">
      <c r="A220" s="13">
        <v>15</v>
      </c>
      <c r="B220" s="42" cm="1">
        <f t="array" ref="B220">IFERROR(SMALL(_xlfn._xlws.FILTER(cleaned_data!$G$2:$G$261,(cleaned_data!$G$2:$G$261&lt;_xlfn.QUARTILE.INC(cleaned_data!$G$2:$G$261,1)-1.5*(_xlfn.QUARTILE.INC(cleaned_data!$G$2:$G$261,3)-_xlfn.QUARTILE.INC(cleaned_data!$G$2:$G$261,1)))+(cleaned_data!$G$2:$G$261&gt;_xlfn.QUARTILE.INC(cleaned_data!$G$2:$G$261,3)+1.5*(_xlfn.QUARTILE.INC(cleaned_data!$G$2:$G$261,3)-_xlfn.QUARTILE.INC(cleaned_data!$G$2:$G$261,1)))),ROWS($B$206:B220)),"")</f>
        <v>256.5</v>
      </c>
      <c r="C220" s="13" t="str">
        <f>IFERROR(INDEX(cleaned_data!$A$2:$A$261,MATCH(B220,cleaned_data!$G$2:$G$261,0)),"")</f>
        <v>ITI-1101</v>
      </c>
      <c r="D220" s="13" t="str">
        <f>IFERROR(_xlfn.XLOOKUP(C220,cleaned_data!$A$2:$A$261,cleaned_data!$B$2:$B$261),"")</f>
        <v>Cairo</v>
      </c>
      <c r="E220" s="12"/>
      <c r="F220" s="12"/>
      <c r="G220" s="12"/>
      <c r="H220" s="12"/>
    </row>
    <row r="221" spans="1:8" x14ac:dyDescent="0.3">
      <c r="A221" s="12"/>
      <c r="B221" s="12"/>
      <c r="C221" s="12"/>
      <c r="D221" s="12"/>
    </row>
    <row r="222" spans="1:8" x14ac:dyDescent="0.3">
      <c r="A222" s="12"/>
      <c r="B222" s="12"/>
      <c r="C222" s="12"/>
      <c r="D222" s="12"/>
    </row>
    <row r="223" spans="1:8" x14ac:dyDescent="0.3">
      <c r="A223" s="12"/>
      <c r="B223" s="12"/>
      <c r="C223" s="12"/>
      <c r="D223" s="12"/>
    </row>
    <row r="224" spans="1:8" x14ac:dyDescent="0.3">
      <c r="A224" s="12"/>
      <c r="B224" s="12"/>
      <c r="C224" s="12"/>
      <c r="D224" s="12"/>
    </row>
    <row r="225" spans="1:4" x14ac:dyDescent="0.3">
      <c r="A225" s="12"/>
      <c r="B225" s="12"/>
      <c r="C225" s="12"/>
      <c r="D225" s="12"/>
    </row>
    <row r="231" spans="1:4" ht="18" x14ac:dyDescent="0.35">
      <c r="A231" s="69" t="s">
        <v>992</v>
      </c>
      <c r="B231" s="69"/>
      <c r="C231" s="69"/>
    </row>
    <row r="244" spans="1:2" ht="18" x14ac:dyDescent="0.35">
      <c r="A244" s="70" t="s">
        <v>993</v>
      </c>
      <c r="B244" s="70"/>
    </row>
    <row r="266" spans="1:2" ht="18" x14ac:dyDescent="0.35">
      <c r="A266" s="70" t="s">
        <v>994</v>
      </c>
      <c r="B266" s="70"/>
    </row>
    <row r="283" spans="1:5" ht="18" x14ac:dyDescent="0.35">
      <c r="A283" s="71" t="s">
        <v>995</v>
      </c>
      <c r="B283" s="64"/>
      <c r="C283" s="64"/>
      <c r="D283" s="64"/>
      <c r="E283" s="64"/>
    </row>
    <row r="285" spans="1:5" x14ac:dyDescent="0.3">
      <c r="A285" s="41" t="s">
        <v>991</v>
      </c>
      <c r="B285" s="41" t="s">
        <v>996</v>
      </c>
      <c r="C285" s="41" t="s">
        <v>997</v>
      </c>
      <c r="D285" s="41" t="s">
        <v>998</v>
      </c>
      <c r="E285" s="41" t="s">
        <v>999</v>
      </c>
    </row>
    <row r="286" spans="1:5" x14ac:dyDescent="0.3">
      <c r="A286" s="13" t="str">
        <f>Branch_Calculations!A5</f>
        <v>Cairo</v>
      </c>
      <c r="B286" s="44">
        <f>Branch_Calculations!B5</f>
        <v>98</v>
      </c>
      <c r="C286" s="42">
        <f>Branch_Calculations!C5</f>
        <v>60.352040816326529</v>
      </c>
      <c r="D286" s="42">
        <f>Branch_Calculations!D5</f>
        <v>46.599999999999994</v>
      </c>
      <c r="E286" s="42">
        <f>Branch_Calculations!E5</f>
        <v>44.871689303465836</v>
      </c>
    </row>
    <row r="287" spans="1:5" x14ac:dyDescent="0.3">
      <c r="A287" s="13" t="str">
        <f>Branch_Calculations!A6</f>
        <v>Alexandria</v>
      </c>
      <c r="B287" s="44">
        <f>Branch_Calculations!B6</f>
        <v>52</v>
      </c>
      <c r="C287" s="42">
        <f>Branch_Calculations!C6</f>
        <v>43.900000000000013</v>
      </c>
      <c r="D287" s="42">
        <f>Branch_Calculations!D6</f>
        <v>33.349999999999994</v>
      </c>
      <c r="E287" s="42">
        <f>Branch_Calculations!E6</f>
        <v>37.357252491658016</v>
      </c>
    </row>
    <row r="288" spans="1:5" x14ac:dyDescent="0.3">
      <c r="A288" s="13" t="str">
        <f>Branch_Calculations!A7</f>
        <v>Mansoura</v>
      </c>
      <c r="B288" s="44">
        <f>Branch_Calculations!B7</f>
        <v>42</v>
      </c>
      <c r="C288" s="42">
        <f>Branch_Calculations!C7</f>
        <v>32.259523809523806</v>
      </c>
      <c r="D288" s="42">
        <f>Branch_Calculations!D7</f>
        <v>27.7</v>
      </c>
      <c r="E288" s="42">
        <f>Branch_Calculations!E7</f>
        <v>30.063972925420135</v>
      </c>
    </row>
    <row r="289" spans="1:5" x14ac:dyDescent="0.3">
      <c r="A289" s="13" t="str">
        <f>Branch_Calculations!A8</f>
        <v>Menoufia</v>
      </c>
      <c r="B289" s="44">
        <f>Branch_Calculations!B8</f>
        <v>32</v>
      </c>
      <c r="C289" s="42">
        <f>Branch_Calculations!C8</f>
        <v>36.762499999999996</v>
      </c>
      <c r="D289" s="42">
        <f>Branch_Calculations!D8</f>
        <v>27.55</v>
      </c>
      <c r="E289" s="42">
        <f>Branch_Calculations!E8</f>
        <v>36.872524520517032</v>
      </c>
    </row>
    <row r="290" spans="1:5" x14ac:dyDescent="0.3">
      <c r="A290" s="13" t="str">
        <f>Branch_Calculations!A9</f>
        <v>Assiut</v>
      </c>
      <c r="B290" s="44">
        <f>Branch_Calculations!B9</f>
        <v>30</v>
      </c>
      <c r="C290" s="42">
        <f>Branch_Calculations!C9</f>
        <v>25.906666666666659</v>
      </c>
      <c r="D290" s="42">
        <f>Branch_Calculations!D9</f>
        <v>24.05</v>
      </c>
      <c r="E290" s="42">
        <f>Branch_Calculations!E9</f>
        <v>16.127101484732176</v>
      </c>
    </row>
    <row r="291" spans="1:5" x14ac:dyDescent="0.3">
      <c r="A291" s="45" t="s">
        <v>1000</v>
      </c>
      <c r="B291" s="46">
        <v>254</v>
      </c>
      <c r="C291" s="47">
        <f>$C$6</f>
        <v>45.29842519685036</v>
      </c>
      <c r="D291" s="47">
        <f>$C$7</f>
        <v>33.049999999999997</v>
      </c>
      <c r="E291" s="47">
        <f>C12</f>
        <v>39.57732209722716</v>
      </c>
    </row>
    <row r="293" spans="1:5" ht="18" x14ac:dyDescent="0.35">
      <c r="A293" s="61" t="s">
        <v>1016</v>
      </c>
      <c r="B293" s="66"/>
      <c r="C293" s="66"/>
    </row>
    <row r="294" spans="1:5" ht="18" x14ac:dyDescent="0.35">
      <c r="A294" s="67" t="str">
        <f>Branch_Calculations!D12&amp;" --&gt; has the highest average commute time."</f>
        <v>Cairo --&gt; has the highest average commute time.</v>
      </c>
      <c r="B294" s="67"/>
      <c r="C294" s="67"/>
    </row>
    <row r="297" spans="1:5" ht="18" x14ac:dyDescent="0.35">
      <c r="A297" s="61" t="s">
        <v>1017</v>
      </c>
      <c r="B297" s="61"/>
      <c r="C297" s="61"/>
    </row>
    <row r="298" spans="1:5" ht="18" x14ac:dyDescent="0.35">
      <c r="A298" s="67" t="str">
        <f>Branch_Calculations!D13&amp;" --&gt; has the lowest average commute time."</f>
        <v>Assiut --&gt; has the lowest average commute time.</v>
      </c>
      <c r="B298" s="67"/>
      <c r="C298" s="67"/>
    </row>
    <row r="301" spans="1:5" ht="18" x14ac:dyDescent="0.35">
      <c r="A301" s="61" t="s">
        <v>1018</v>
      </c>
      <c r="B301" s="61"/>
      <c r="C301" s="61"/>
    </row>
    <row r="302" spans="1:5" ht="15.6" x14ac:dyDescent="0.3">
      <c r="A302" s="65" t="str">
        <f>Branch_Calculations!D14&amp;" --&gt; has the highest variability, meaning its students' commute times are the most spread out / inconsistent."</f>
        <v>Cairo --&gt; has the highest variability, meaning its students' commute times are the most spread out / inconsistent.</v>
      </c>
      <c r="B302" s="65"/>
      <c r="C302" s="65"/>
    </row>
    <row r="305" spans="1:11" ht="18" x14ac:dyDescent="0.35">
      <c r="A305" s="61" t="s">
        <v>1019</v>
      </c>
      <c r="B305" s="61"/>
      <c r="C305" s="61"/>
    </row>
    <row r="306" spans="1:11" ht="15.6" x14ac:dyDescent="0.3">
      <c r="A306" s="65" t="str">
        <f>Branch_Calculations!D15&amp;" --&gt; has the lowest variability — students there commute fairly consistent distances, with few extreme values pulling the branch's own average around."</f>
        <v>Assiut --&gt; has the lowest variability — students there commute fairly consistent distances, with few extreme values pulling the branch's own average around.</v>
      </c>
      <c r="B306" s="65"/>
      <c r="C306" s="65"/>
      <c r="D306" s="65"/>
      <c r="E306" s="65"/>
    </row>
    <row r="309" spans="1:11" ht="18" x14ac:dyDescent="0.35">
      <c r="A309" s="61" t="s">
        <v>1020</v>
      </c>
      <c r="B309" s="61"/>
      <c r="C309" s="61"/>
    </row>
    <row r="310" spans="1:11" ht="43.8" customHeight="1" x14ac:dyDescent="0.3">
      <c r="A310" s="62" t="str">
        <f>Branch_Calculations!D12&amp;" is responsible — it combines both the highest branch mean AND the largest number of students (heaviest weight), so it pulls the combined average up more than any other branch. Excluding it moves the overall mean from "&amp;TEXT($C$6,"0.00")&amp;" to "&amp;TEXT(Branch_Calculations!D17,"0.00")&amp;" minutes — a drop of "&amp;TEXT(Branch_Calculations!D18,"0.00")&amp;" minutes ("&amp;TEXT(Branch_Calculations!D19,"0.0%")&amp;")."</f>
        <v>Cairo is responsible — it combines both the highest branch mean AND the largest number of students (heaviest weight), so it pulls the combined average up more than any other branch. Excluding it moves the overall mean from 45.30 to 35.84 minutes — a drop of 9.46 minutes (20.9%).</v>
      </c>
      <c r="B310" s="62"/>
      <c r="C310" s="62"/>
      <c r="D310" s="11"/>
      <c r="E310" s="11"/>
      <c r="F310" s="11"/>
      <c r="G310" s="11"/>
      <c r="H310" s="11"/>
      <c r="I310" s="11"/>
      <c r="J310" s="11"/>
      <c r="K310" s="11"/>
    </row>
    <row r="311" spans="1:11" x14ac:dyDescent="0.3">
      <c r="A311" s="10"/>
      <c r="B311" s="10"/>
      <c r="C311" s="10"/>
      <c r="D311" s="10"/>
      <c r="E311" s="10"/>
      <c r="F311" s="10"/>
    </row>
    <row r="312" spans="1:11" x14ac:dyDescent="0.3">
      <c r="D312" s="10"/>
      <c r="E312" s="10"/>
      <c r="F312" s="10"/>
    </row>
    <row r="313" spans="1:11" ht="18" x14ac:dyDescent="0.35">
      <c r="A313" s="61" t="s">
        <v>1021</v>
      </c>
      <c r="B313" s="61"/>
      <c r="C313" s="61"/>
      <c r="D313" s="10"/>
      <c r="E313" s="10"/>
      <c r="F313" s="10"/>
    </row>
    <row r="314" spans="1:11" x14ac:dyDescent="0.3">
      <c r="A314" s="62" t="str">
        <f>"Original overall mean = "&amp;TEXT($C$6,"0.00")&amp;" minutes.  New overall mean (excluding the branch identified above) = "&amp;TEXT(Branch_Calculations!D17,"0.00")&amp;" minutes. The new mean is noticeably lower, confirming that a single branch is doing most of the work in pushing the national average above what most students across the other four branches actually experience."</f>
        <v>Original overall mean = 45.30 minutes.  New overall mean (excluding the branch identified above) = 35.84 minutes. The new mean is noticeably lower, confirming that a single branch is doing most of the work in pushing the national average above what most students across the other four branches actually experience.</v>
      </c>
      <c r="B314" s="62"/>
      <c r="C314" s="62"/>
    </row>
    <row r="315" spans="1:11" x14ac:dyDescent="0.3">
      <c r="A315" s="62"/>
      <c r="B315" s="62"/>
      <c r="C315" s="62"/>
    </row>
    <row r="316" spans="1:11" x14ac:dyDescent="0.3">
      <c r="A316" s="62"/>
      <c r="B316" s="62"/>
      <c r="C316" s="62"/>
    </row>
    <row r="319" spans="1:11" ht="18" x14ac:dyDescent="0.35">
      <c r="A319" s="61" t="s">
        <v>1022</v>
      </c>
      <c r="B319" s="64"/>
      <c r="C319" s="64"/>
    </row>
    <row r="320" spans="1:11" x14ac:dyDescent="0.3">
      <c r="A320" s="62" t="s">
        <v>1023</v>
      </c>
      <c r="B320" s="62"/>
      <c r="C320" s="62"/>
    </row>
    <row r="321" spans="1:5" x14ac:dyDescent="0.3">
      <c r="A321" s="62"/>
      <c r="B321" s="62"/>
      <c r="C321" s="62"/>
    </row>
    <row r="322" spans="1:5" x14ac:dyDescent="0.3">
      <c r="A322" s="62"/>
      <c r="B322" s="62"/>
      <c r="C322" s="62"/>
    </row>
    <row r="325" spans="1:5" ht="18" x14ac:dyDescent="0.35">
      <c r="A325" s="61" t="s">
        <v>1024</v>
      </c>
      <c r="B325" s="61"/>
      <c r="C325" s="61"/>
      <c r="D325" s="61"/>
      <c r="E325" s="58"/>
    </row>
    <row r="326" spans="1:5" x14ac:dyDescent="0.3">
      <c r="A326" s="62" t="s">
        <v>1025</v>
      </c>
      <c r="B326" s="62"/>
      <c r="C326" s="62"/>
    </row>
    <row r="327" spans="1:5" x14ac:dyDescent="0.3">
      <c r="A327" s="62"/>
      <c r="B327" s="62"/>
      <c r="C327" s="62"/>
    </row>
    <row r="328" spans="1:5" x14ac:dyDescent="0.3">
      <c r="A328" s="62"/>
      <c r="B328" s="62"/>
      <c r="C328" s="62"/>
    </row>
    <row r="329" spans="1:5" x14ac:dyDescent="0.3">
      <c r="A329" s="62"/>
      <c r="B329" s="62"/>
      <c r="C329" s="62"/>
    </row>
    <row r="330" spans="1:5" x14ac:dyDescent="0.3">
      <c r="A330" s="62"/>
      <c r="B330" s="62"/>
      <c r="C330" s="62"/>
    </row>
    <row r="334" spans="1:5" ht="21" x14ac:dyDescent="0.4">
      <c r="A334" s="63" t="s">
        <v>1026</v>
      </c>
      <c r="B334" s="63"/>
      <c r="C334" s="63"/>
    </row>
    <row r="335" spans="1:5" x14ac:dyDescent="0.3">
      <c r="A335" s="30"/>
      <c r="B335" s="30"/>
      <c r="C335" s="30"/>
    </row>
    <row r="336" spans="1:5" x14ac:dyDescent="0.3">
      <c r="A336" s="30"/>
      <c r="B336" s="30"/>
      <c r="C336" s="30"/>
    </row>
    <row r="337" spans="1:3" x14ac:dyDescent="0.3">
      <c r="A337" s="30"/>
      <c r="B337" s="30"/>
      <c r="C337" s="30"/>
    </row>
    <row r="338" spans="1:3" x14ac:dyDescent="0.3">
      <c r="A338" s="30"/>
      <c r="B338" s="30"/>
      <c r="C338" s="30"/>
    </row>
    <row r="339" spans="1:3" x14ac:dyDescent="0.3">
      <c r="A339" s="30"/>
      <c r="B339" s="30"/>
      <c r="C339" s="30"/>
    </row>
    <row r="340" spans="1:3" x14ac:dyDescent="0.3">
      <c r="A340" s="30"/>
      <c r="B340" s="30"/>
      <c r="C340" s="30"/>
    </row>
    <row r="341" spans="1:3" x14ac:dyDescent="0.3">
      <c r="A341" s="30"/>
      <c r="B341" s="30"/>
      <c r="C341" s="30"/>
    </row>
    <row r="342" spans="1:3" x14ac:dyDescent="0.3">
      <c r="A342" s="30"/>
      <c r="B342" s="30"/>
      <c r="C342" s="30"/>
    </row>
    <row r="343" spans="1:3" x14ac:dyDescent="0.3">
      <c r="A343" s="30"/>
      <c r="B343" s="30"/>
      <c r="C343" s="30"/>
    </row>
    <row r="344" spans="1:3" x14ac:dyDescent="0.3">
      <c r="A344" s="30"/>
      <c r="B344" s="30"/>
      <c r="C344" s="30"/>
    </row>
    <row r="345" spans="1:3" x14ac:dyDescent="0.3">
      <c r="A345" s="30"/>
      <c r="B345" s="30"/>
      <c r="C345" s="30"/>
    </row>
    <row r="346" spans="1:3" x14ac:dyDescent="0.3">
      <c r="A346" s="30"/>
      <c r="B346" s="30"/>
      <c r="C346" s="30"/>
    </row>
    <row r="347" spans="1:3" x14ac:dyDescent="0.3">
      <c r="A347" s="30"/>
      <c r="B347" s="30"/>
      <c r="C347" s="30"/>
    </row>
    <row r="348" spans="1:3" x14ac:dyDescent="0.3">
      <c r="A348" s="30"/>
      <c r="B348" s="30"/>
      <c r="C348" s="30"/>
    </row>
    <row r="349" spans="1:3" x14ac:dyDescent="0.3">
      <c r="A349" s="30"/>
      <c r="B349" s="30"/>
      <c r="C349" s="30"/>
    </row>
    <row r="350" spans="1:3" x14ac:dyDescent="0.3">
      <c r="A350" s="30"/>
      <c r="B350" s="30"/>
      <c r="C350" s="30"/>
    </row>
    <row r="351" spans="1:3" x14ac:dyDescent="0.3">
      <c r="A351" s="30"/>
      <c r="B351" s="30"/>
      <c r="C351" s="30"/>
    </row>
    <row r="352" spans="1:3" x14ac:dyDescent="0.3">
      <c r="A352" s="30"/>
      <c r="B352" s="30"/>
      <c r="C352" s="30"/>
    </row>
    <row r="353" spans="1:3" x14ac:dyDescent="0.3">
      <c r="A353" s="30"/>
      <c r="B353" s="30"/>
      <c r="C353" s="30"/>
    </row>
    <row r="354" spans="1:3" x14ac:dyDescent="0.3">
      <c r="A354" s="30"/>
      <c r="B354" s="30"/>
      <c r="C354" s="30"/>
    </row>
  </sheetData>
  <mergeCells count="58">
    <mergeCell ref="A147:C157"/>
    <mergeCell ref="A111:B111"/>
    <mergeCell ref="A117:C117"/>
    <mergeCell ref="A118:C130"/>
    <mergeCell ref="A135:I135"/>
    <mergeCell ref="A19:B19"/>
    <mergeCell ref="A29:C38"/>
    <mergeCell ref="A163:C163"/>
    <mergeCell ref="C166:D166"/>
    <mergeCell ref="C167:D167"/>
    <mergeCell ref="A41:B41"/>
    <mergeCell ref="C20:E20"/>
    <mergeCell ref="A28:B28"/>
    <mergeCell ref="A22:B22"/>
    <mergeCell ref="A20:B20"/>
    <mergeCell ref="A96:B108"/>
    <mergeCell ref="A49:B49"/>
    <mergeCell ref="A50:B61"/>
    <mergeCell ref="A64:B64"/>
    <mergeCell ref="A136:C143"/>
    <mergeCell ref="A146:D146"/>
    <mergeCell ref="C173:D173"/>
    <mergeCell ref="A176:C176"/>
    <mergeCell ref="A177:C182"/>
    <mergeCell ref="A184:C184"/>
    <mergeCell ref="C168:D168"/>
    <mergeCell ref="C169:D169"/>
    <mergeCell ref="C170:D170"/>
    <mergeCell ref="C171:D171"/>
    <mergeCell ref="C172:D172"/>
    <mergeCell ref="A185:C190"/>
    <mergeCell ref="A198:H198"/>
    <mergeCell ref="C199:D199"/>
    <mergeCell ref="C200:D200"/>
    <mergeCell ref="C201:D201"/>
    <mergeCell ref="A298:C298"/>
    <mergeCell ref="A301:C301"/>
    <mergeCell ref="A204:H204"/>
    <mergeCell ref="A231:C231"/>
    <mergeCell ref="A244:B244"/>
    <mergeCell ref="A266:B266"/>
    <mergeCell ref="A283:E283"/>
    <mergeCell ref="A1:D1"/>
    <mergeCell ref="A325:D325"/>
    <mergeCell ref="A326:C330"/>
    <mergeCell ref="A334:C334"/>
    <mergeCell ref="A313:C313"/>
    <mergeCell ref="A314:C316"/>
    <mergeCell ref="A310:C310"/>
    <mergeCell ref="A319:C319"/>
    <mergeCell ref="A320:C322"/>
    <mergeCell ref="A302:C302"/>
    <mergeCell ref="A305:C305"/>
    <mergeCell ref="A306:E306"/>
    <mergeCell ref="A309:C309"/>
    <mergeCell ref="A293:C293"/>
    <mergeCell ref="A294:C294"/>
    <mergeCell ref="A297:C297"/>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8A9E4-789F-432C-B00E-BE069A7E875C}">
  <sheetPr>
    <tabColor theme="9" tint="0.39997558519241921"/>
  </sheetPr>
  <dimension ref="A1:F25"/>
  <sheetViews>
    <sheetView workbookViewId="0">
      <selection activeCell="A18" sqref="A18:C18"/>
    </sheetView>
  </sheetViews>
  <sheetFormatPr defaultRowHeight="14.4" x14ac:dyDescent="0.3"/>
  <cols>
    <col min="1" max="1" width="60.109375" customWidth="1"/>
    <col min="2" max="2" width="28.88671875" customWidth="1"/>
    <col min="3" max="3" width="30.5546875" customWidth="1"/>
    <col min="4" max="4" width="28.44140625" customWidth="1"/>
    <col min="5" max="5" width="39.88671875" customWidth="1"/>
  </cols>
  <sheetData>
    <row r="1" spans="1:6" ht="29.4" customHeight="1" x14ac:dyDescent="0.3">
      <c r="A1" s="97" t="s">
        <v>1001</v>
      </c>
      <c r="B1" s="97"/>
      <c r="C1" s="97"/>
      <c r="D1" s="97"/>
      <c r="E1" s="97"/>
      <c r="F1" s="97"/>
    </row>
    <row r="2" spans="1:6" x14ac:dyDescent="0.3">
      <c r="A2" s="98" t="s">
        <v>1002</v>
      </c>
      <c r="B2" s="98"/>
      <c r="C2" s="98"/>
      <c r="D2" s="98"/>
      <c r="E2" s="98"/>
      <c r="F2" s="98"/>
    </row>
    <row r="3" spans="1:6" x14ac:dyDescent="0.3">
      <c r="A3" s="12"/>
      <c r="B3" s="12"/>
      <c r="C3" s="12"/>
      <c r="D3" s="12"/>
      <c r="E3" s="12"/>
      <c r="F3" s="12"/>
    </row>
    <row r="4" spans="1:6" ht="36.6" customHeight="1" x14ac:dyDescent="0.3">
      <c r="A4" s="48" t="s">
        <v>991</v>
      </c>
      <c r="B4" s="48" t="s">
        <v>1003</v>
      </c>
      <c r="C4" s="48" t="s">
        <v>1004</v>
      </c>
      <c r="D4" s="48" t="s">
        <v>1005</v>
      </c>
      <c r="E4" s="48" t="s">
        <v>1006</v>
      </c>
      <c r="F4" s="12"/>
    </row>
    <row r="5" spans="1:6" x14ac:dyDescent="0.3">
      <c r="A5" s="39" t="s">
        <v>16</v>
      </c>
      <c r="B5" s="44">
        <f>COUNTIFS(cleaned_data!$B$2:$B$261,$A5,cleaned_data!$G$2:$G$261,"&lt;&gt;"&amp;"")</f>
        <v>98</v>
      </c>
      <c r="C5" s="42">
        <f>AVERAGEIFS(cleaned_data!$G$2:$G$261,cleaned_data!$B$2:$B$261,$A5)</f>
        <v>60.352040816326529</v>
      </c>
      <c r="D5" s="42" cm="1">
        <f t="array" ref="D5">MEDIAN(_xlfn._xlws.FILTER(cleaned_data!$G$2:$G$261,(cleaned_data!$B$2:$B$261=A5)*(cleaned_data!$G$2:$G$261&lt;&gt;"")))</f>
        <v>46.599999999999994</v>
      </c>
      <c r="E5" s="42" cm="1">
        <f t="array" ref="E5">_xlfn.STDEV.S(_xlfn._xlws.FILTER(cleaned_data!$G$2:$G$261,(cleaned_data!$B$2:$B$261=A5)*(cleaned_data!$G$2:$G$261&lt;&gt;"")))</f>
        <v>44.871689303465836</v>
      </c>
      <c r="F5" s="12"/>
    </row>
    <row r="6" spans="1:6" x14ac:dyDescent="0.3">
      <c r="A6" s="49" t="s">
        <v>80</v>
      </c>
      <c r="B6" s="44">
        <f>COUNTIFS(cleaned_data!$B$2:$B$261,$A6,cleaned_data!$G$2:$G$261,"&lt;&gt;"&amp;"")</f>
        <v>52</v>
      </c>
      <c r="C6" s="42">
        <f>AVERAGEIFS(cleaned_data!$G$2:$G$261,cleaned_data!$B$2:$B$261,$A6)</f>
        <v>43.900000000000013</v>
      </c>
      <c r="D6" s="42" cm="1">
        <f t="array" ref="D6">MEDIAN(_xlfn._xlws.FILTER(cleaned_data!$G$2:$G$261,(cleaned_data!$B$2:$B$261=A6)*(cleaned_data!$G$2:$G$261&lt;&gt;"")))</f>
        <v>33.349999999999994</v>
      </c>
      <c r="E6" s="42" cm="1">
        <f t="array" ref="E6">_xlfn.STDEV.S(_xlfn._xlws.FILTER(cleaned_data!$G$2:$G$261,(cleaned_data!$B$2:$B$261=A6)*(cleaned_data!$G$2:$G$261&lt;&gt;"")))</f>
        <v>37.357252491658016</v>
      </c>
      <c r="F6" s="12"/>
    </row>
    <row r="7" spans="1:6" x14ac:dyDescent="0.3">
      <c r="A7" s="39" t="s">
        <v>86</v>
      </c>
      <c r="B7" s="44">
        <f>COUNTIFS(cleaned_data!$B$2:$B$261,$A7,cleaned_data!$G$2:$G$261,"&lt;&gt;"&amp;"")</f>
        <v>42</v>
      </c>
      <c r="C7" s="42">
        <f>AVERAGEIFS(cleaned_data!$G$2:$G$261,cleaned_data!$B$2:$B$261,$A7)</f>
        <v>32.259523809523806</v>
      </c>
      <c r="D7" s="42" cm="1">
        <f t="array" ref="D7">MEDIAN(_xlfn._xlws.FILTER(cleaned_data!$G$2:$G$261,(cleaned_data!$B$2:$B$261=A7)*(cleaned_data!$G$2:$G$261&lt;&gt;"")))</f>
        <v>27.7</v>
      </c>
      <c r="E7" s="42" cm="1">
        <f t="array" ref="E7">_xlfn.STDEV.S(_xlfn._xlws.FILTER(cleaned_data!$G$2:$G$261,(cleaned_data!$B$2:$B$261=A7)*(cleaned_data!$G$2:$G$261&lt;&gt;"")))</f>
        <v>30.063972925420135</v>
      </c>
      <c r="F7" s="12"/>
    </row>
    <row r="8" spans="1:6" x14ac:dyDescent="0.3">
      <c r="A8" s="49" t="s">
        <v>48</v>
      </c>
      <c r="B8" s="44">
        <f>COUNTIFS(cleaned_data!$B$2:$B$261,$A8,cleaned_data!$G$2:$G$261,"&lt;&gt;"&amp;"")</f>
        <v>32</v>
      </c>
      <c r="C8" s="42">
        <f>AVERAGEIFS(cleaned_data!$G$2:$G$261,cleaned_data!$B$2:$B$261,$A8)</f>
        <v>36.762499999999996</v>
      </c>
      <c r="D8" s="42" cm="1">
        <f t="array" ref="D8">MEDIAN(_xlfn._xlws.FILTER(cleaned_data!$G$2:$G$261,(cleaned_data!$B$2:$B$261=A8)*(cleaned_data!$G$2:$G$261&lt;&gt;"")))</f>
        <v>27.55</v>
      </c>
      <c r="E8" s="42" cm="1">
        <f t="array" ref="E8">_xlfn.STDEV.S(_xlfn._xlws.FILTER(cleaned_data!$G$2:$G$261,(cleaned_data!$B$2:$B$261=A8)*(cleaned_data!$G$2:$G$261&lt;&gt;"")))</f>
        <v>36.872524520517032</v>
      </c>
      <c r="F8" s="12"/>
    </row>
    <row r="9" spans="1:6" x14ac:dyDescent="0.3">
      <c r="A9" s="39" t="s">
        <v>28</v>
      </c>
      <c r="B9" s="44">
        <f>COUNTIFS(cleaned_data!$B$2:$B$261,$A9,cleaned_data!$G$2:$G$261,"&lt;&gt;"&amp;"")</f>
        <v>30</v>
      </c>
      <c r="C9" s="42">
        <f>AVERAGEIFS(cleaned_data!$G$2:$G$261,cleaned_data!$B$2:$B$261,$A9)</f>
        <v>25.906666666666659</v>
      </c>
      <c r="D9" s="42" cm="1">
        <f t="array" ref="D9">MEDIAN(_xlfn._xlws.FILTER(cleaned_data!$G$2:$G$261,(cleaned_data!$B$2:$B$261=A9)*(cleaned_data!$G$2:$G$261&lt;&gt;"")))</f>
        <v>24.05</v>
      </c>
      <c r="E9" s="42" cm="1">
        <f t="array" ref="E9">_xlfn.STDEV.S(_xlfn._xlws.FILTER(cleaned_data!$G$2:$G$261,(cleaned_data!$B$2:$B$261=A9)*(cleaned_data!$G$2:$G$261&lt;&gt;"")))</f>
        <v>16.127101484732176</v>
      </c>
      <c r="F9" s="12"/>
    </row>
    <row r="10" spans="1:6" x14ac:dyDescent="0.3">
      <c r="A10" s="53" t="s">
        <v>1015</v>
      </c>
      <c r="B10" s="54">
        <f>SUM(B5:B9)</f>
        <v>254</v>
      </c>
      <c r="C10" s="55">
        <f>AVERAGE(cleaned_data!G2:G261)</f>
        <v>45.29842519685036</v>
      </c>
      <c r="D10" s="59"/>
      <c r="E10" s="59"/>
      <c r="F10" s="12"/>
    </row>
    <row r="11" spans="1:6" x14ac:dyDescent="0.3">
      <c r="A11" s="96" t="s">
        <v>1007</v>
      </c>
      <c r="B11" s="96"/>
      <c r="C11" s="96"/>
      <c r="D11" s="50">
        <v>45.298425196850403</v>
      </c>
      <c r="E11" s="12"/>
      <c r="F11" s="12"/>
    </row>
    <row r="12" spans="1:6" x14ac:dyDescent="0.3">
      <c r="A12" s="96" t="s">
        <v>1008</v>
      </c>
      <c r="B12" s="96"/>
      <c r="C12" s="96"/>
      <c r="D12" s="51" t="str">
        <f>_xlfn.SINGLE(INDEX($A$5:$A$9,MATCH(MAX($C$5:$C$9),$C$5:$C$9,0)))</f>
        <v>Cairo</v>
      </c>
      <c r="E12" s="12"/>
      <c r="F12" s="12"/>
    </row>
    <row r="13" spans="1:6" x14ac:dyDescent="0.3">
      <c r="A13" s="96" t="s">
        <v>1009</v>
      </c>
      <c r="B13" s="96"/>
      <c r="C13" s="96"/>
      <c r="D13" s="51" t="str">
        <f>_xlfn.SINGLE(INDEX($A$5:$A$9,MATCH(MIN($C$5:$C$9),$C$5:$C$9,0)))</f>
        <v>Assiut</v>
      </c>
      <c r="E13" s="12"/>
      <c r="F13" s="12"/>
    </row>
    <row r="14" spans="1:6" x14ac:dyDescent="0.3">
      <c r="A14" s="96" t="s">
        <v>1010</v>
      </c>
      <c r="B14" s="96"/>
      <c r="C14" s="96"/>
      <c r="D14" s="51" t="str">
        <f>_xlfn.SINGLE(INDEX($A$5:$A$9,MATCH(MAX($E$5:$E$9),$E$5:$E$9,0)))</f>
        <v>Cairo</v>
      </c>
      <c r="E14" s="12"/>
      <c r="F14" s="12"/>
    </row>
    <row r="15" spans="1:6" x14ac:dyDescent="0.3">
      <c r="A15" s="96" t="s">
        <v>1011</v>
      </c>
      <c r="B15" s="96"/>
      <c r="C15" s="96"/>
      <c r="D15" s="51" t="str">
        <f>_xlfn.SINGLE(INDEX($A$5:$A$9,MATCH(MIN($E$5:$E$9),$E$5:$E$9,0)))</f>
        <v>Assiut</v>
      </c>
      <c r="E15" s="12"/>
      <c r="F15" s="12"/>
    </row>
    <row r="16" spans="1:6" x14ac:dyDescent="0.3">
      <c r="A16" s="12"/>
      <c r="B16" s="12"/>
      <c r="C16" s="12"/>
      <c r="D16" s="12"/>
      <c r="E16" s="12"/>
      <c r="F16" s="12"/>
    </row>
    <row r="17" spans="1:6" x14ac:dyDescent="0.3">
      <c r="A17" s="96" t="s">
        <v>1012</v>
      </c>
      <c r="B17" s="96"/>
      <c r="C17" s="96"/>
      <c r="D17" s="50">
        <f>AVERAGEIFS(cleaned_data!$G$2:$G$261,cleaned_data!$B$2:$B$261,"&lt;&gt;"&amp;$D$12)</f>
        <v>35.841666666666676</v>
      </c>
      <c r="E17" s="12"/>
      <c r="F17" s="12"/>
    </row>
    <row r="18" spans="1:6" x14ac:dyDescent="0.3">
      <c r="A18" s="96" t="s">
        <v>1013</v>
      </c>
      <c r="B18" s="96"/>
      <c r="C18" s="96"/>
      <c r="D18" s="50">
        <f>$D$11-$D$17</f>
        <v>9.4567585301837269</v>
      </c>
      <c r="E18" s="12"/>
      <c r="F18" s="12"/>
    </row>
    <row r="19" spans="1:6" x14ac:dyDescent="0.3">
      <c r="A19" s="96" t="s">
        <v>1014</v>
      </c>
      <c r="B19" s="96"/>
      <c r="C19" s="96"/>
      <c r="D19" s="52">
        <f>$D$18/$D$11</f>
        <v>0.20876572395371606</v>
      </c>
      <c r="E19" s="12"/>
      <c r="F19" s="12"/>
    </row>
    <row r="20" spans="1:6" x14ac:dyDescent="0.3">
      <c r="A20" s="12"/>
      <c r="B20" s="12"/>
      <c r="C20" s="12"/>
      <c r="D20" s="12"/>
      <c r="E20" s="12"/>
      <c r="F20" s="12"/>
    </row>
    <row r="21" spans="1:6" x14ac:dyDescent="0.3">
      <c r="A21" s="12"/>
      <c r="B21" s="12"/>
      <c r="C21" s="12"/>
      <c r="D21" s="12"/>
      <c r="E21" s="12"/>
      <c r="F21" s="12"/>
    </row>
    <row r="22" spans="1:6" x14ac:dyDescent="0.3">
      <c r="A22" s="12"/>
      <c r="B22" s="12"/>
      <c r="C22" s="12"/>
      <c r="D22" s="12"/>
      <c r="E22" s="12"/>
      <c r="F22" s="12"/>
    </row>
    <row r="23" spans="1:6" x14ac:dyDescent="0.3">
      <c r="A23" s="12"/>
      <c r="B23" s="12"/>
      <c r="C23" s="12"/>
      <c r="D23" s="12"/>
      <c r="E23" s="12"/>
      <c r="F23" s="12"/>
    </row>
    <row r="24" spans="1:6" x14ac:dyDescent="0.3">
      <c r="A24" s="12"/>
      <c r="B24" s="12"/>
      <c r="C24" s="12"/>
      <c r="D24" s="12"/>
      <c r="E24" s="12"/>
      <c r="F24" s="12"/>
    </row>
    <row r="25" spans="1:6" x14ac:dyDescent="0.3">
      <c r="A25" s="12"/>
      <c r="B25" s="12"/>
      <c r="C25" s="12"/>
      <c r="D25" s="12"/>
      <c r="E25" s="12"/>
      <c r="F25" s="12"/>
    </row>
  </sheetData>
  <mergeCells count="10">
    <mergeCell ref="A15:C15"/>
    <mergeCell ref="A17:C17"/>
    <mergeCell ref="A18:C18"/>
    <mergeCell ref="A19:C19"/>
    <mergeCell ref="A1:F1"/>
    <mergeCell ref="A2:F2"/>
    <mergeCell ref="A11:C11"/>
    <mergeCell ref="A12:C12"/>
    <mergeCell ref="A13:C13"/>
    <mergeCell ref="A14: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5</vt:i4>
      </vt:variant>
    </vt:vector>
  </HeadingPairs>
  <TitlesOfParts>
    <vt:vector size="5" baseType="lpstr">
      <vt:lpstr>raw_data</vt:lpstr>
      <vt:lpstr>cleaned_data</vt:lpstr>
      <vt:lpstr>Cleaning_log</vt:lpstr>
      <vt:lpstr>Descriptive_Statistics</vt:lpstr>
      <vt:lpstr>Branch_Calculations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Donia Habib</cp:lastModifiedBy>
  <dcterms:created xsi:type="dcterms:W3CDTF">2026-08-11T19:32:44Z</dcterms:created>
  <dcterms:modified xsi:type="dcterms:W3CDTF">2026-08-23T17:04:36Z</dcterms:modified>
</cp:coreProperties>
</file>